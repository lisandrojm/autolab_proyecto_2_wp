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12" yWindow="516" windowWidth="21852" windowHeight="10260"/>
  </bookViews>
  <sheets>
    <sheet name="Resumen Ejecutivo" sheetId="1" r:id="rId1"/>
    <sheet name="Reporte" sheetId="2" r:id="rId2"/>
    <sheet name="SUBTOTAL" sheetId="3" r:id="rId3"/>
    <sheet name="LIQUIDACION" sheetId="4" r:id="rId4"/>
  </sheets>
  <definedNames>
    <definedName name="_xlnm._FilterDatabase" localSheetId="3" hidden="1">LIQUIDACION!$A$3:$J$4</definedName>
    <definedName name="_xlnm._FilterDatabase" localSheetId="1" hidden="1">Reporte!$A$1:$M$1</definedName>
    <definedName name="_xlnm._FilterDatabase" localSheetId="2" hidden="1">SUBTOTAL!$A$1:$L$1</definedName>
    <definedName name="_xlnm.Print_Area" localSheetId="0">'Resumen Ejecutivo'!$B$2:$N$76</definedName>
  </definedNames>
  <calcPr calcId="145621" fullCalcOnLoad="1"/>
</workbook>
</file>

<file path=xl/sharedStrings.xml><?xml version="1.0" encoding="utf-8"?>
<sst xmlns="http://schemas.openxmlformats.org/spreadsheetml/2006/main" count="99" uniqueCount="99">
  <si>
    <t>RESUMEN EJECUTIVO · JORNALEROS</t>
  </si>
  <si>
    <t>Mes del reporte (1er día):</t>
  </si>
  <si>
    <t>← cambiar cada mes</t>
  </si>
  <si>
    <t>Personas contratadas</t>
  </si>
  <si>
    <t>Jornadas trabajadas</t>
  </si>
  <si>
    <t>Neto pactado total</t>
  </si>
  <si>
    <t>Costo prom. por jornada</t>
  </si>
  <si>
    <t>Jornadas prom. por persona</t>
  </si>
  <si>
    <t>Contratos / registros</t>
  </si>
  <si>
    <t>Total bruto liquidado</t>
  </si>
  <si>
    <t>Aportes (19%)</t>
  </si>
  <si>
    <t>Neto liquidado</t>
  </si>
  <si>
    <t>SAC proporcional</t>
  </si>
  <si>
    <t>1. Distribución por categoría del convenio</t>
  </si>
  <si>
    <t>N°</t>
  </si>
  <si>
    <t>Categoría</t>
  </si>
  <si>
    <t>Valor prom. jornada</t>
  </si>
  <si>
    <t>Personas</t>
  </si>
  <si>
    <t>Jornadas</t>
  </si>
  <si>
    <t>Neto pactado</t>
  </si>
  <si>
    <t>% del total</t>
  </si>
  <si>
    <t>TOTAL</t>
  </si>
  <si>
    <t>Personas: una misma persona puede trabajar en más de una categoría.</t>
  </si>
  <si>
    <t>2. Jornadas según día de la semana</t>
  </si>
  <si>
    <t>Día</t>
  </si>
  <si>
    <t>% jornadas</t>
  </si>
  <si>
    <t>Contratos</t>
  </si>
  <si>
    <t>Lunes</t>
  </si>
  <si>
    <t>Martes</t>
  </si>
  <si>
    <t>Miércoles</t>
  </si>
  <si>
    <t>Jueves</t>
  </si>
  <si>
    <t>Viernes</t>
  </si>
  <si>
    <t>Sábado</t>
  </si>
  <si>
    <t>Domingo</t>
  </si>
  <si>
    <t>Fin de semana (sáb + dom)</t>
  </si>
  <si>
    <t>Nota: se asigna cada contrato al día de su fecha de alta.</t>
  </si>
  <si>
    <t>3. Evolución diaria de jornadas en el mes</t>
  </si>
  <si>
    <t>Datos gráfico diario</t>
  </si>
  <si>
    <t>4. Top 10 personas por neto pactado</t>
  </si>
  <si>
    <t>5. Del neto pactado a la liquidación</t>
  </si>
  <si>
    <t>#</t>
  </si>
  <si>
    <t>Apellido y nombre</t>
  </si>
  <si>
    <t>% acumulado</t>
  </si>
  <si>
    <t>Concepto</t>
  </si>
  <si>
    <t>Importe</t>
  </si>
  <si>
    <t>Neto pactado (pagos en mano)</t>
  </si>
  <si>
    <t>Jornal básico</t>
  </si>
  <si>
    <t>Presentismo (10%)</t>
  </si>
  <si>
    <t>Total bruto</t>
  </si>
  <si>
    <t>Diferencia neto liquidado vs. pactado</t>
  </si>
  <si>
    <t>Fuente: tabla dinámica de la hoja LIQUIDACION (actualizarla antes de leer este ranking).</t>
  </si>
  <si>
    <t>6. Controles y alertas de calidad de datos</t>
  </si>
  <si>
    <t>Control</t>
  </si>
  <si>
    <t>Resultado</t>
  </si>
  <si>
    <t>Estado</t>
  </si>
  <si>
    <t>Registros sin legajo Tango</t>
  </si>
  <si>
    <t>Registros repetidos (misma persona y fecha)</t>
  </si>
  <si>
    <t>Contratos con fechas fuera del mes</t>
  </si>
  <si>
    <t>Registros sin OK en Trello</t>
  </si>
  <si>
    <t>Tabla dinámica vs. Reporte (diferencia $)</t>
  </si>
  <si>
    <t>Todas las cifras se calculan con fórmulas sobre las hojas Reporte y LIQUIDACION: al pegar los datos de un nuevo mes y cambiar la celda D4, el resumen se actualiza (las categorías del punto 1 son fijas según la escala).</t>
  </si>
  <si>
    <t>numero_legajo_tango</t>
  </si>
  <si>
    <t>apellido</t>
  </si>
  <si>
    <t>nombre_empleado</t>
  </si>
  <si>
    <t>apellido &amp; nombre</t>
  </si>
  <si>
    <t>numero_categoria</t>
  </si>
  <si>
    <t>nombre_categoria</t>
  </si>
  <si>
    <t>cantidad_jornadas_laborales</t>
  </si>
  <si>
    <t>sueldo_jornada</t>
  </si>
  <si>
    <t>sueldo_mano</t>
  </si>
  <si>
    <t>fecha_alta_contrato</t>
  </si>
  <si>
    <t>fecha_baja_contrato</t>
  </si>
  <si>
    <t>CONTROL TRELLO</t>
  </si>
  <si>
    <t>ESCALA</t>
  </si>
  <si>
    <t>CONCEPTO 29</t>
  </si>
  <si>
    <t>CONCEPTO 30</t>
  </si>
  <si>
    <t>ESCALA POR CATEGORÍA (H:J se buscan acá)</t>
  </si>
  <si>
    <t>LEGAJO</t>
  </si>
  <si>
    <t>Valores</t>
  </si>
  <si>
    <t>N° Categoria</t>
  </si>
  <si>
    <t>Categoria</t>
  </si>
  <si>
    <t>Básico</t>
  </si>
  <si>
    <t>Adic. Sattsaid</t>
  </si>
  <si>
    <t>ART 8,7</t>
  </si>
  <si>
    <t>Jornal</t>
  </si>
  <si>
    <t>Presentismo</t>
  </si>
  <si>
    <t>Antigüedad</t>
  </si>
  <si>
    <t>Adic. Especial</t>
  </si>
  <si>
    <t>Adic. Especial LN</t>
  </si>
  <si>
    <t>SAC Prop</t>
  </si>
  <si>
    <t>TOTAL BRUTO</t>
  </si>
  <si>
    <t>Fondo Medicamentos</t>
  </si>
  <si>
    <t>Aportes</t>
  </si>
  <si>
    <t>Adelanto</t>
  </si>
  <si>
    <t>Neto</t>
  </si>
  <si>
    <t>Neto Memo</t>
  </si>
  <si>
    <t>Diferencia</t>
  </si>
  <si>
    <t>Neto Pactado</t>
  </si>
  <si>
    <t>CONTROL SIN SAC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</si>
</sst>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mmmm\ yyyy"/>
    <numFmt numFmtId="165" formatCode="&quot;$&quot;\ #,##0"/>
    <numFmt numFmtId="166" formatCode="0.0"/>
    <numFmt numFmtId="167" formatCode="0.0%"/>
  </numFmts>
  <fonts count="3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indexed="8"/>
      <name val="Century Gothic"/>
      <family val="2"/>
    </font>
    <font>
      <b/>
      <i/>
      <sz val="10"/>
      <color indexed="8"/>
      <name val="Century Gothic"/>
      <family val="2"/>
    </font>
    <font>
      <b/>
      <i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9"/>
      <color indexed="8"/>
      <name val="Century Gothic"/>
      <family val="2"/>
    </font>
    <font>
      <b/>
      <sz val="9"/>
      <name val="Times New Roman"/>
      <family val="1"/>
    </font>
    <font>
      <b/>
      <sz val="9"/>
      <color indexed="8"/>
      <name val="Century Gothic"/>
      <family val="2"/>
    </font>
    <font>
      <sz val="9"/>
      <color rgb="FFFFFF00"/>
      <name val="Century Gothic"/>
      <family val="2"/>
    </font>
    <font>
      <b/>
      <sz val="9"/>
      <color theme="1"/>
      <name val="Century Gothic"/>
      <family val="2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b/>
      <sz val="20"/>
      <color rgb="FFFFFFFF"/>
      <name val="Century Gothic"/>
      <family val="2"/>
    </font>
    <font>
      <i/>
      <sz val="10"/>
      <color rgb="FFFFFFFF"/>
      <name val="Century Gothic"/>
      <family val="2"/>
    </font>
    <font>
      <sz val="9"/>
      <color rgb="FF7F7F7F"/>
      <name val="Century Gothic"/>
      <family val="2"/>
    </font>
    <font>
      <b/>
      <sz val="9"/>
      <color rgb="FF0000FF"/>
      <name val="Century Gothic"/>
      <family val="2"/>
    </font>
    <font>
      <i/>
      <sz val="8"/>
      <color rgb="FF7F7F7F"/>
      <name val="Century Gothic"/>
      <family val="2"/>
    </font>
    <font>
      <b/>
      <sz val="9"/>
      <color rgb="FF595959"/>
      <name val="Century Gothic"/>
      <family val="2"/>
    </font>
    <font>
      <b/>
      <sz val="18"/>
      <color rgb="FF1F3864"/>
      <name val="Century Gothic"/>
      <family val="2"/>
    </font>
    <font>
      <b/>
      <sz val="18"/>
      <color rgb="FF2E75B6"/>
      <name val="Century Gothic"/>
      <family val="2"/>
    </font>
    <font>
      <b/>
      <sz val="12"/>
      <color rgb="FF1F3864"/>
      <name val="Century Gothic"/>
      <family val="2"/>
    </font>
    <font>
      <b/>
      <sz val="9"/>
      <color rgb="FFFFFFFF"/>
      <name val="Century Gothic"/>
      <family val="2"/>
    </font>
    <font>
      <sz val="9"/>
      <name val="Century Gothic"/>
      <family val="2"/>
    </font>
    <font>
      <b/>
      <sz val="9"/>
      <name val="Century Gothic"/>
      <family val="2"/>
    </font>
    <font>
      <b/>
      <sz val="8"/>
      <color rgb="FF7F7F7F"/>
      <name val="Century Gothic"/>
      <family val="2"/>
    </font>
    <font>
      <i/>
      <sz val="8"/>
      <color rgb="FF595959"/>
      <name val="Century Gothic"/>
      <family val="2"/>
    </font>
    <font>
      <sz val="10"/>
      <color indexed="8"/>
      <name val="Century Gothic"/>
    </font>
    <font>
      <sz val="10"/>
      <color theme="1"/>
      <name val="Century Gothic"/>
    </font>
    <font>
      <b/>
      <i/>
      <sz val="10"/>
      <color indexed="8"/>
      <name val="Century Gothic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AF1FB"/>
      </patternFill>
    </fill>
    <fill>
      <patternFill patternType="solid">
        <fgColor rgb="FFF2F2F2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theme="6" tint="0.7999816888943144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1F3864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medium">
        <color rgb="FF2E75B6"/>
      </top>
      <bottom/>
      <diagonal/>
    </border>
    <border>
      <left/>
      <right/>
      <top/>
      <bottom style="medium">
        <color rgb="FF1F3864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1F3864"/>
      </top>
      <bottom style="thin">
        <color rgb="FF1F3864"/>
      </bottom>
      <diagonal/>
    </border>
  </borders>
  <cellStyleXfs count="6">
    <xf numFmtId="0" fontId="0" fillId="0" borderId="0"/>
    <xf numFmtId="43" fontId="1" fillId="0" borderId="0"/>
    <xf numFmtId="44" fontId="1" fillId="0" borderId="0"/>
    <xf numFmtId="44" fontId="8" fillId="0" borderId="0"/>
    <xf numFmtId="0" fontId="8" fillId="0" borderId="0"/>
    <xf numFmtId="0" fontId="16" fillId="0" borderId="0"/>
  </cellStyleXfs>
  <cellXfs count="12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7" fillId="4" borderId="0" xfId="0" applyFont="1" applyFill="1"/>
    <xf numFmtId="0" fontId="3" fillId="5" borderId="0" xfId="0" applyFont="1" applyFill="1" applyAlignment="1">
      <alignment horizontal="center" vertical="center"/>
    </xf>
    <xf numFmtId="0" fontId="7" fillId="5" borderId="0" xfId="0" applyFont="1" applyFill="1"/>
    <xf numFmtId="0" fontId="6" fillId="5" borderId="0" xfId="0" applyFont="1" applyFill="1" applyAlignment="1">
      <alignment horizontal="center" vertical="center"/>
    </xf>
    <xf numFmtId="14" fontId="3" fillId="5" borderId="0" xfId="0" applyNumberFormat="1" applyFont="1" applyFill="1" applyAlignment="1">
      <alignment horizontal="center" vertical="center"/>
    </xf>
    <xf numFmtId="0" fontId="7" fillId="0" borderId="3" xfId="0" applyFont="1" applyBorder="1" applyAlignment="1">
      <alignment horizontal="left"/>
    </xf>
    <xf numFmtId="0" fontId="7" fillId="0" borderId="3" xfId="0" applyFont="1" applyBorder="1"/>
    <xf numFmtId="0" fontId="10" fillId="0" borderId="0" xfId="4" applyFont="1"/>
    <xf numFmtId="0" fontId="12" fillId="7" borderId="0" xfId="4" applyFont="1" applyFill="1" applyAlignment="1">
      <alignment horizontal="center" vertical="center"/>
    </xf>
    <xf numFmtId="0" fontId="13" fillId="3" borderId="7" xfId="4" applyFont="1" applyFill="1" applyBorder="1" applyAlignment="1">
      <alignment vertical="center"/>
    </xf>
    <xf numFmtId="0" fontId="0" fillId="3" borderId="11" xfId="0" applyFill="1" applyBorder="1"/>
    <xf numFmtId="0" fontId="0" fillId="3" borderId="6" xfId="0" applyFill="1" applyBorder="1"/>
    <xf numFmtId="0" fontId="5" fillId="0" borderId="2" xfId="0" applyFont="1" applyBorder="1" applyAlignment="1">
      <alignment horizontal="center" vertical="center"/>
    </xf>
    <xf numFmtId="0" fontId="13" fillId="0" borderId="6" xfId="4" applyFont="1" applyBorder="1"/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6" fillId="6" borderId="1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0" fillId="0" borderId="0" xfId="0"/>
    <xf numFmtId="0" fontId="7" fillId="0" borderId="0" xfId="0" applyFont="1"/>
    <xf numFmtId="0" fontId="5" fillId="0" borderId="0" xfId="0" applyFont="1" applyAlignment="1">
      <alignment horizontal="left" vertical="center"/>
    </xf>
    <xf numFmtId="0" fontId="17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0" borderId="0" xfId="0" applyFont="1" applyAlignment="1">
      <alignment horizontal="right"/>
    </xf>
    <xf numFmtId="164" fontId="21" fillId="10" borderId="0" xfId="0" applyNumberFormat="1" applyFont="1" applyFill="1"/>
    <xf numFmtId="0" fontId="22" fillId="0" borderId="0" xfId="0" applyFont="1"/>
    <xf numFmtId="0" fontId="23" fillId="11" borderId="18" xfId="0" applyFont="1" applyFill="1" applyBorder="1" applyAlignment="1">
      <alignment horizontal="center"/>
    </xf>
    <xf numFmtId="3" fontId="24" fillId="11" borderId="19" xfId="0" applyNumberFormat="1" applyFont="1" applyFill="1" applyBorder="1" applyAlignment="1">
      <alignment horizontal="center" vertical="center"/>
    </xf>
    <xf numFmtId="0" fontId="23" fillId="11" borderId="20" xfId="0" applyFont="1" applyFill="1" applyBorder="1" applyAlignment="1">
      <alignment horizontal="center"/>
    </xf>
    <xf numFmtId="3" fontId="25" fillId="11" borderId="19" xfId="0" applyNumberFormat="1" applyFont="1" applyFill="1" applyBorder="1" applyAlignment="1">
      <alignment horizontal="center" vertical="center"/>
    </xf>
    <xf numFmtId="0" fontId="27" fillId="8" borderId="0" xfId="0" applyFont="1" applyFill="1" applyAlignment="1">
      <alignment horizontal="center" vertical="center" wrapText="1"/>
    </xf>
    <xf numFmtId="0" fontId="28" fillId="0" borderId="22" xfId="0" applyFont="1" applyBorder="1" applyAlignment="1">
      <alignment horizontal="center"/>
    </xf>
    <xf numFmtId="0" fontId="28" fillId="0" borderId="22" xfId="0" applyFont="1" applyBorder="1"/>
    <xf numFmtId="165" fontId="28" fillId="0" borderId="22" xfId="0" applyNumberFormat="1" applyFont="1" applyBorder="1"/>
    <xf numFmtId="3" fontId="28" fillId="0" borderId="22" xfId="0" applyNumberFormat="1" applyFont="1" applyBorder="1" applyAlignment="1">
      <alignment horizontal="center"/>
    </xf>
    <xf numFmtId="167" fontId="28" fillId="0" borderId="22" xfId="0" applyNumberFormat="1" applyFont="1" applyBorder="1" applyAlignment="1">
      <alignment horizontal="center"/>
    </xf>
    <xf numFmtId="0" fontId="28" fillId="12" borderId="22" xfId="0" applyFont="1" applyFill="1" applyBorder="1" applyAlignment="1">
      <alignment horizontal="center"/>
    </xf>
    <xf numFmtId="0" fontId="28" fillId="12" borderId="22" xfId="0" applyFont="1" applyFill="1" applyBorder="1"/>
    <xf numFmtId="165" fontId="28" fillId="12" borderId="22" xfId="0" applyNumberFormat="1" applyFont="1" applyFill="1" applyBorder="1"/>
    <xf numFmtId="3" fontId="28" fillId="12" borderId="22" xfId="0" applyNumberFormat="1" applyFont="1" applyFill="1" applyBorder="1" applyAlignment="1">
      <alignment horizontal="center"/>
    </xf>
    <xf numFmtId="167" fontId="28" fillId="12" borderId="22" xfId="0" applyNumberFormat="1" applyFont="1" applyFill="1" applyBorder="1" applyAlignment="1">
      <alignment horizontal="center"/>
    </xf>
    <xf numFmtId="0" fontId="29" fillId="11" borderId="23" xfId="0" applyFont="1" applyFill="1" applyBorder="1"/>
    <xf numFmtId="3" fontId="29" fillId="11" borderId="23" xfId="0" applyNumberFormat="1" applyFont="1" applyFill="1" applyBorder="1" applyAlignment="1">
      <alignment horizontal="center"/>
    </xf>
    <xf numFmtId="165" fontId="29" fillId="11" borderId="23" xfId="0" applyNumberFormat="1" applyFont="1" applyFill="1" applyBorder="1"/>
    <xf numFmtId="167" fontId="29" fillId="11" borderId="23" xfId="0" applyNumberFormat="1" applyFont="1" applyFill="1" applyBorder="1" applyAlignment="1">
      <alignment horizontal="center"/>
    </xf>
    <xf numFmtId="0" fontId="29" fillId="12" borderId="22" xfId="0" applyFont="1" applyFill="1" applyBorder="1"/>
    <xf numFmtId="3" fontId="29" fillId="12" borderId="22" xfId="0" applyNumberFormat="1" applyFont="1" applyFill="1" applyBorder="1" applyAlignment="1">
      <alignment horizontal="center"/>
    </xf>
    <xf numFmtId="167" fontId="29" fillId="12" borderId="22" xfId="0" applyNumberFormat="1" applyFont="1" applyFill="1" applyBorder="1" applyAlignment="1">
      <alignment horizontal="center"/>
    </xf>
    <xf numFmtId="0" fontId="27" fillId="9" borderId="0" xfId="0" applyFont="1" applyFill="1"/>
    <xf numFmtId="3" fontId="27" fillId="9" borderId="0" xfId="0" applyNumberFormat="1" applyFont="1" applyFill="1" applyAlignment="1">
      <alignment horizontal="center"/>
    </xf>
    <xf numFmtId="167" fontId="27" fillId="9" borderId="0" xfId="0" applyNumberFormat="1" applyFont="1" applyFill="1" applyAlignment="1">
      <alignment horizontal="center"/>
    </xf>
    <xf numFmtId="0" fontId="30" fillId="0" borderId="0" xfId="0" applyFont="1"/>
    <xf numFmtId="3" fontId="29" fillId="0" borderId="22" xfId="0" applyNumberFormat="1" applyFont="1" applyBorder="1" applyAlignment="1">
      <alignment horizontal="center"/>
    </xf>
    <xf numFmtId="44" fontId="4" fillId="0" borderId="0" xfId="2" applyFont="1" applyAlignment="1">
      <alignment horizontal="center" vertical="center"/>
    </xf>
    <xf numFmtId="44" fontId="3" fillId="4" borderId="0" xfId="2" applyFont="1" applyFill="1" applyAlignment="1">
      <alignment horizontal="center" vertical="center"/>
    </xf>
    <xf numFmtId="44" fontId="3" fillId="5" borderId="0" xfId="2" applyFont="1" applyFill="1" applyAlignment="1">
      <alignment horizontal="center" vertical="center"/>
    </xf>
    <xf numFmtId="44" fontId="11" fillId="0" borderId="0" xfId="2" applyFont="1"/>
    <xf numFmtId="44" fontId="10" fillId="0" borderId="0" xfId="3" applyFont="1"/>
    <xf numFmtId="43" fontId="9" fillId="0" borderId="13" xfId="1" applyFont="1" applyBorder="1" applyAlignment="1">
      <alignment horizontal="center" vertical="center"/>
    </xf>
    <xf numFmtId="43" fontId="9" fillId="0" borderId="8" xfId="1" applyFont="1" applyBorder="1" applyAlignment="1">
      <alignment horizontal="center" vertical="center"/>
    </xf>
    <xf numFmtId="43" fontId="14" fillId="0" borderId="9" xfId="1" applyFont="1" applyBorder="1" applyAlignment="1">
      <alignment horizontal="center" vertical="center"/>
    </xf>
    <xf numFmtId="43" fontId="14" fillId="7" borderId="9" xfId="1" applyFont="1" applyFill="1" applyBorder="1" applyAlignment="1">
      <alignment horizontal="center" vertical="center"/>
    </xf>
    <xf numFmtId="43" fontId="2" fillId="0" borderId="9" xfId="1" applyFont="1" applyBorder="1" applyAlignment="1">
      <alignment horizontal="center" vertical="center"/>
    </xf>
    <xf numFmtId="43" fontId="2" fillId="0" borderId="9" xfId="1" applyFont="1" applyBorder="1" applyAlignment="1">
      <alignment horizontal="center" vertical="center" wrapText="1"/>
    </xf>
    <xf numFmtId="44" fontId="2" fillId="0" borderId="9" xfId="3" applyFont="1" applyBorder="1" applyAlignment="1">
      <alignment horizontal="center" vertical="center"/>
    </xf>
    <xf numFmtId="43" fontId="15" fillId="0" borderId="10" xfId="1" applyFont="1" applyBorder="1" applyAlignment="1">
      <alignment horizontal="center" vertical="center"/>
    </xf>
    <xf numFmtId="43" fontId="15" fillId="0" borderId="0" xfId="1" applyFont="1" applyAlignment="1">
      <alignment horizontal="center" vertical="center"/>
    </xf>
    <xf numFmtId="8" fontId="4" fillId="0" borderId="0" xfId="3" applyNumberFormat="1" applyFont="1" applyAlignment="1">
      <alignment horizontal="center" vertical="center"/>
    </xf>
    <xf numFmtId="8" fontId="4" fillId="0" borderId="0" xfId="0" applyNumberFormat="1" applyFont="1" applyAlignment="1">
      <alignment horizontal="center" vertical="center"/>
    </xf>
    <xf numFmtId="44" fontId="10" fillId="0" borderId="0" xfId="3" applyFont="1" applyAlignment="1">
      <alignment horizontal="center" vertical="center"/>
    </xf>
    <xf numFmtId="44" fontId="12" fillId="0" borderId="0" xfId="3" applyFont="1" applyAlignment="1">
      <alignment horizontal="center" vertical="center"/>
    </xf>
    <xf numFmtId="8" fontId="4" fillId="0" borderId="2" xfId="3" applyNumberFormat="1" applyFont="1" applyBorder="1" applyAlignment="1">
      <alignment horizontal="center" vertical="center"/>
    </xf>
    <xf numFmtId="44" fontId="5" fillId="0" borderId="2" xfId="0" applyNumberFormat="1" applyFont="1" applyBorder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NumberFormat="1" applyAlignment="1">
      <alignment horizontal="center" vertical="center"/>
    </xf>
    <xf numFmtId="165" fontId="29" fillId="11" borderId="22" xfId="0" applyNumberFormat="1" applyFont="1" applyFill="1" applyBorder="1"/>
    <xf numFmtId="0" fontId="29" fillId="11" borderId="22" xfId="0" applyFont="1" applyFill="1" applyBorder="1"/>
    <xf numFmtId="165" fontId="28" fillId="0" borderId="22" xfId="0" applyNumberFormat="1" applyFont="1" applyBorder="1"/>
    <xf numFmtId="0" fontId="28" fillId="0" borderId="22" xfId="0" applyFont="1" applyBorder="1"/>
    <xf numFmtId="0" fontId="26" fillId="0" borderId="21" xfId="0" applyFont="1" applyBorder="1"/>
    <xf numFmtId="0" fontId="0" fillId="0" borderId="21" xfId="0" applyBorder="1"/>
    <xf numFmtId="165" fontId="25" fillId="11" borderId="19" xfId="0" applyNumberFormat="1" applyFont="1" applyFill="1" applyBorder="1" applyAlignment="1">
      <alignment horizontal="center" vertical="center"/>
    </xf>
    <xf numFmtId="0" fontId="0" fillId="11" borderId="19" xfId="0" applyFill="1" applyBorder="1"/>
    <xf numFmtId="0" fontId="18" fillId="8" borderId="0" xfId="0" applyFont="1" applyFill="1" applyAlignment="1">
      <alignment vertical="center" indent="1"/>
    </xf>
    <xf numFmtId="0" fontId="0" fillId="0" borderId="0" xfId="0"/>
    <xf numFmtId="0" fontId="23" fillId="11" borderId="20" xfId="0" applyFont="1" applyFill="1" applyBorder="1" applyAlignment="1">
      <alignment horizontal="center"/>
    </xf>
    <xf numFmtId="0" fontId="0" fillId="11" borderId="20" xfId="0" applyFill="1" applyBorder="1"/>
    <xf numFmtId="166" fontId="24" fillId="11" borderId="19" xfId="0" applyNumberFormat="1" applyFont="1" applyFill="1" applyBorder="1" applyAlignment="1">
      <alignment horizontal="center" vertical="center"/>
    </xf>
    <xf numFmtId="0" fontId="19" fillId="9" borderId="0" xfId="0" applyFont="1" applyFill="1" applyAlignment="1">
      <alignment vertical="center" indent="1"/>
    </xf>
    <xf numFmtId="0" fontId="23" fillId="11" borderId="18" xfId="0" applyFont="1" applyFill="1" applyBorder="1" applyAlignment="1">
      <alignment horizontal="center"/>
    </xf>
    <xf numFmtId="0" fontId="0" fillId="11" borderId="18" xfId="0" applyFill="1" applyBorder="1"/>
    <xf numFmtId="0" fontId="0" fillId="0" borderId="22" xfId="0" applyBorder="1"/>
    <xf numFmtId="165" fontId="24" fillId="11" borderId="19" xfId="0" applyNumberFormat="1" applyFont="1" applyFill="1" applyBorder="1" applyAlignment="1">
      <alignment horizontal="center" vertical="center"/>
    </xf>
    <xf numFmtId="3" fontId="24" fillId="11" borderId="19" xfId="0" applyNumberFormat="1" applyFont="1" applyFill="1" applyBorder="1" applyAlignment="1">
      <alignment horizontal="center" vertical="center"/>
    </xf>
    <xf numFmtId="0" fontId="27" fillId="8" borderId="0" xfId="0" applyFont="1" applyFill="1" applyAlignment="1">
      <alignment horizontal="center" vertical="center" wrapText="1"/>
    </xf>
    <xf numFmtId="0" fontId="31" fillId="0" borderId="0" xfId="0" applyFont="1" applyAlignment="1">
      <alignment vertical="top" wrapText="1"/>
    </xf>
    <xf numFmtId="0" fontId="22" fillId="0" borderId="0" xfId="0" applyFont="1" applyAlignment="1">
      <alignment wrapText="1"/>
    </xf>
    <xf numFmtId="43" fontId="15" fillId="0" borderId="10" xfId="1" applyFont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43" fontId="9" fillId="0" borderId="4" xfId="1" applyFont="1" applyBorder="1" applyAlignment="1">
      <alignment horizontal="center"/>
    </xf>
    <xf numFmtId="0" fontId="0" fillId="0" borderId="5" xfId="0" applyBorder="1"/>
    <xf numFmtId="0" fontId="32" fillId="0" borderId="0" xfId="0" applyFont="1" applyAlignment="1">
      <alignment horizontal="left" vertical="center"/>
    </xf>
    <xf numFmtId="0" fontId="32" fillId="0" borderId="0" xfId="0" applyNumberFormat="1" applyFont="1" applyAlignment="1">
      <alignment horizontal="center" vertical="center"/>
    </xf>
    <xf numFmtId="8" fontId="33" fillId="0" borderId="0" xfId="0" applyNumberFormat="1" applyFont="1" applyAlignment="1">
      <alignment horizontal="center" vertical="center"/>
    </xf>
    <xf numFmtId="0" fontId="34" fillId="6" borderId="7" xfId="0" applyFont="1" applyFill="1" applyBorder="1" applyAlignment="1">
      <alignment horizontal="center" vertical="center" wrapText="1"/>
    </xf>
    <xf numFmtId="0" fontId="34" fillId="6" borderId="8" xfId="0" applyFont="1" applyFill="1" applyBorder="1" applyAlignment="1">
      <alignment horizontal="center" vertical="center" wrapText="1"/>
    </xf>
    <xf numFmtId="0" fontId="34" fillId="6" borderId="17" xfId="0" applyFont="1" applyFill="1" applyBorder="1" applyAlignment="1">
      <alignment horizontal="center" vertical="center" wrapText="1"/>
    </xf>
    <xf numFmtId="0" fontId="34" fillId="6" borderId="13" xfId="0" applyFont="1" applyFill="1" applyBorder="1" applyAlignment="1">
      <alignment horizontal="center" vertical="center" wrapText="1"/>
    </xf>
  </cellXfs>
  <cellStyles count="6">
    <cellStyle name="Millares" xfId="1" builtinId="3"/>
    <cellStyle name="Moneda" xfId="2" builtinId="4"/>
    <cellStyle name="Moneda 2" xfId="3"/>
    <cellStyle name="Normal" xfId="0" builtinId="0"/>
    <cellStyle name="Normal 2" xfId="4"/>
    <cellStyle name="Normal 3" xfId="5"/>
  </cellStyles>
  <dxfs count="28">
    <dxf>
      <font>
        <sz val="10"/>
        <color indexed="8"/>
        <name val="Century Gothic"/>
      </font>
      <alignment vertical="center"/>
    </dxf>
    <dxf>
      <font>
        <sz val="10"/>
        <color indexed="8"/>
        <name val="Century Gothic"/>
      </font>
      <alignment horizontal="center" vertical="center"/>
    </dxf>
    <dxf>
      <font>
        <sz val="10"/>
        <name val="Century Gothic"/>
      </font>
      <numFmt numFmtId="12" formatCode="&quot;$&quot;\ #,##0.00;[Red]\-&quot;$&quot;\ #,##0.00"/>
      <alignment horizontal="center" vertical="center"/>
    </dxf>
    <dxf>
      <font>
        <sz val="10"/>
        <name val="Century Gothic"/>
      </font>
      <numFmt numFmtId="12" formatCode="&quot;$&quot;\ #,##0.00;[Red]\-&quot;$&quot;\ #,##0.00"/>
      <alignment horizontal="center"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  <i/>
        <sz val="10"/>
        <color indexed="8"/>
        <name val="Century Gothic"/>
      </font>
      <fill>
        <patternFill patternType="solid">
          <fgColor indexed="64"/>
          <bgColor theme="8" tint="0.79998168889431442"/>
        </patternFill>
      </fill>
      <alignment horizontal="center" vertical="center" wrapText="1"/>
    </dxf>
    <dxf>
      <font>
        <b/>
        <i/>
        <sz val="10"/>
        <color indexed="8"/>
        <name val="Century Gothic"/>
      </font>
      <fill>
        <patternFill patternType="solid">
          <fgColor indexed="64"/>
          <bgColor theme="8" tint="0.79998168889431442"/>
        </patternFill>
      </fill>
      <alignment horizontal="center" vertical="center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/>
        <sz val="10"/>
        <color indexed="8"/>
        <name val="Century Gothic"/>
      </font>
      <fill>
        <patternFill patternType="solid">
          <fgColor indexed="64"/>
          <bgColor theme="8" tint="0.79998168889431442"/>
        </patternFill>
      </fill>
      <alignment horizontal="center" vertical="center" wrapText="1"/>
    </dxf>
    <dxf>
      <font>
        <b/>
        <i/>
        <sz val="10"/>
        <color indexed="8"/>
        <name val="Century Gothic"/>
      </font>
      <fill>
        <patternFill patternType="solid">
          <fgColor indexed="64"/>
          <bgColor theme="8" tint="0.79998168889431442"/>
        </patternFill>
      </fill>
      <alignment horizontal="center" vertical="center"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sz val="10"/>
        <name val="Century Gothic"/>
      </font>
      <numFmt numFmtId="12" formatCode="&quot;$&quot;\ #,##0.00;[Red]\-&quot;$&quot;\ #,##0.00"/>
      <alignment horizontal="center" vertical="center"/>
    </dxf>
    <dxf>
      <font>
        <sz val="10"/>
        <name val="Century Gothic"/>
      </font>
      <numFmt numFmtId="12" formatCode="&quot;$&quot;\ #,##0.00;[Red]\-&quot;$&quot;\ #,##0.00"/>
      <alignment horizontal="center" vertical="center"/>
    </dxf>
    <dxf>
      <font>
        <sz val="10"/>
        <color indexed="8"/>
        <name val="Century Gothic"/>
      </font>
      <alignment horizontal="center" vertical="center"/>
    </dxf>
    <dxf>
      <font>
        <sz val="10"/>
        <color indexed="8"/>
        <name val="Century Gothic"/>
      </font>
      <alignment vertical="center"/>
    </dxf>
    <dxf>
      <font>
        <color rgb="FFFF0000"/>
      </font>
    </dxf>
    <dxf>
      <font>
        <color rgb="FFFF0000"/>
      </font>
    </dxf>
    <dxf>
      <font>
        <b/>
        <color rgb="FFC00000"/>
      </font>
      <fill>
        <patternFill patternType="solid">
          <fgColor rgb="FFFDECEA"/>
        </patternFill>
      </fill>
    </dxf>
    <dxf>
      <font>
        <b/>
        <color rgb="FF00703C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AR"/>
              <a:t>Neto pactado por categoría</a:t>
            </a:r>
          </a:p>
        </c:rich>
      </c:tx>
      <c:layout>
        <c:manualLayout>
          <c:xMode val="edge"/>
          <c:yMode val="edge"/>
          <c:x val="0.35679498207885307"/>
          <c:y val="0"/>
        </c:manualLayout>
      </c:layout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'Resumen Ejecutivo'!$G$13</c:f>
              <c:strCache>
                <c:ptCount val="1"/>
                <c:pt idx="0">
                  <c:v>Neto pactado</c:v>
                </c:pt>
              </c:strCache>
            </c:strRef>
          </c:tx>
          <c:spPr>
            <a:solidFill>
              <a:srgbClr val="2E75B6"/>
            </a:solidFill>
            <a:ln>
              <a:solidFill>
                <a:srgbClr val="2E75B6"/>
              </a:solidFill>
              <a:prstDash val="solid"/>
            </a:ln>
          </c:spPr>
          <c:invertIfNegative val="1"/>
          <c:cat>
            <c:strRef>
              <c:f>'Resumen Ejecutivo'!$C$14:$C$22</c:f>
              <c:strCache>
                <c:ptCount val="9"/>
                <c:pt idx="0">
                  <c:v>Peinador</c:v>
                </c:pt>
                <c:pt idx="1">
                  <c:v>Conductor de Cámaras</c:v>
                </c:pt>
                <c:pt idx="2">
                  <c:v>Ayudante General de Técnica</c:v>
                </c:pt>
                <c:pt idx="3">
                  <c:v>Operador Técnico Editor de VTR</c:v>
                </c:pt>
                <c:pt idx="4">
                  <c:v>Visualizador / Logger</c:v>
                </c:pt>
                <c:pt idx="5">
                  <c:v>Mezclador de Control Central</c:v>
                </c:pt>
                <c:pt idx="6">
                  <c:v>Microfonista</c:v>
                </c:pt>
                <c:pt idx="7">
                  <c:v>Técnico en Efectos Especiales Visuales</c:v>
                </c:pt>
                <c:pt idx="8">
                  <c:v>Modista</c:v>
                </c:pt>
              </c:strCache>
            </c:strRef>
          </c:cat>
          <c:val>
            <c:numRef>
              <c:f>'Resumen Ejecutivo'!$G$14:$G$22</c:f>
              <c:numCache>
                <c:formatCode>"$"\ #,##0</c:formatCode>
                <c:ptCount val="9"/>
                <c:pt idx="0">
                  <c:v>4519092.6000000015</c:v>
                </c:pt>
                <c:pt idx="1">
                  <c:v>4197008.620000001</c:v>
                </c:pt>
                <c:pt idx="2">
                  <c:v>4159215.0599999935</c:v>
                </c:pt>
                <c:pt idx="3">
                  <c:v>3956436.9599999967</c:v>
                </c:pt>
                <c:pt idx="4">
                  <c:v>3106304.640000002</c:v>
                </c:pt>
                <c:pt idx="5">
                  <c:v>1478788.3500000003</c:v>
                </c:pt>
                <c:pt idx="6">
                  <c:v>890124.29999999993</c:v>
                </c:pt>
                <c:pt idx="7">
                  <c:v>282602.64</c:v>
                </c:pt>
                <c:pt idx="8">
                  <c:v>58486.05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2E75B6"/>
                    </a:solidFill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79426304"/>
        <c:axId val="132585088"/>
      </c:barChart>
      <c:catAx>
        <c:axId val="179426304"/>
        <c:scaling>
          <c:orientation val="maxMin"/>
        </c:scaling>
        <c:delete val="0"/>
        <c:axPos val="l"/>
        <c:majorTickMark val="none"/>
        <c:minorTickMark val="none"/>
        <c:tickLblPos val="nextTo"/>
        <c:crossAx val="132585088"/>
        <c:crosses val="autoZero"/>
        <c:auto val="1"/>
        <c:lblAlgn val="ctr"/>
        <c:lblOffset val="100"/>
        <c:noMultiLvlLbl val="1"/>
      </c:catAx>
      <c:valAx>
        <c:axId val="132585088"/>
        <c:scaling>
          <c:orientation val="minMax"/>
        </c:scaling>
        <c:delete val="1"/>
        <c:axPos val="t"/>
        <c:numFmt formatCode="&quot;$&quot;#,##0,,&quot;M&quot;" sourceLinked="0"/>
        <c:majorTickMark val="none"/>
        <c:minorTickMark val="none"/>
        <c:tickLblPos val="nextTo"/>
        <c:crossAx val="17942630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AR"/>
              <a:t>Jornadas por día de la semana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Ejecutivo'!$D$27</c:f>
              <c:strCache>
                <c:ptCount val="1"/>
                <c:pt idx="0">
                  <c:v>Jornadas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cat>
            <c:strRef>
              <c:f>'Resumen Ejecutivo'!$C$28:$C$34</c:f>
              <c:strCache>
                <c:ptCount val="7"/>
                <c:pt idx="0">
                  <c:v>Lunes</c:v>
                </c:pt>
                <c:pt idx="1">
                  <c:v>Martes</c:v>
                </c:pt>
                <c:pt idx="2">
                  <c:v>Miércoles</c:v>
                </c:pt>
                <c:pt idx="3">
                  <c:v>Jueves</c:v>
                </c:pt>
                <c:pt idx="4">
                  <c:v>Viernes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'Resumen Ejecutivo'!$D$28:$D$34</c:f>
              <c:numCache>
                <c:formatCode>#,##0</c:formatCode>
                <c:ptCount val="7"/>
                <c:pt idx="0">
                  <c:v>61</c:v>
                </c:pt>
                <c:pt idx="1">
                  <c:v>22</c:v>
                </c:pt>
                <c:pt idx="2">
                  <c:v>33</c:v>
                </c:pt>
                <c:pt idx="3">
                  <c:v>19</c:v>
                </c:pt>
                <c:pt idx="4">
                  <c:v>22</c:v>
                </c:pt>
                <c:pt idx="5">
                  <c:v>85</c:v>
                </c:pt>
                <c:pt idx="6">
                  <c:v>90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50"/>
        <c:axId val="179426816"/>
        <c:axId val="132586816"/>
      </c:barChart>
      <c:catAx>
        <c:axId val="179426816"/>
        <c:scaling>
          <c:orientation val="minMax"/>
        </c:scaling>
        <c:delete val="0"/>
        <c:axPos val="b"/>
        <c:majorTickMark val="none"/>
        <c:minorTickMark val="none"/>
        <c:tickLblPos val="nextTo"/>
        <c:crossAx val="132586816"/>
        <c:crosses val="autoZero"/>
        <c:auto val="1"/>
        <c:lblAlgn val="ctr"/>
        <c:lblOffset val="100"/>
        <c:noMultiLvlLbl val="1"/>
      </c:catAx>
      <c:valAx>
        <c:axId val="13258681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79426816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AR"/>
              <a:t>Jornadas por día del mes (según fecha de alta)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Ejecutivo'!$R$39</c:f>
              <c:strCache>
                <c:ptCount val="1"/>
                <c:pt idx="0">
                  <c:v>Jornadas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numRef>
              <c:f>'Resumen Ejecutivo'!$Q$40:$Q$70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'Resumen Ejecutivo'!$R$40:$R$70</c:f>
              <c:numCache>
                <c:formatCode>#,##0</c:formatCode>
                <c:ptCount val="31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22</c:v>
                </c:pt>
                <c:pt idx="5">
                  <c:v>20</c:v>
                </c:pt>
                <c:pt idx="6">
                  <c:v>11</c:v>
                </c:pt>
                <c:pt idx="7">
                  <c:v>10</c:v>
                </c:pt>
                <c:pt idx="8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20</c:v>
                </c:pt>
                <c:pt idx="12">
                  <c:v>25</c:v>
                </c:pt>
                <c:pt idx="13">
                  <c:v>12</c:v>
                </c:pt>
                <c:pt idx="14">
                  <c:v>1</c:v>
                </c:pt>
                <c:pt idx="15">
                  <c:v>7</c:v>
                </c:pt>
                <c:pt idx="16">
                  <c:v>5</c:v>
                </c:pt>
                <c:pt idx="17">
                  <c:v>6</c:v>
                </c:pt>
                <c:pt idx="18">
                  <c:v>21</c:v>
                </c:pt>
                <c:pt idx="19">
                  <c:v>24</c:v>
                </c:pt>
                <c:pt idx="20">
                  <c:v>17</c:v>
                </c:pt>
                <c:pt idx="21">
                  <c:v>3</c:v>
                </c:pt>
                <c:pt idx="22">
                  <c:v>14</c:v>
                </c:pt>
                <c:pt idx="23">
                  <c:v>4</c:v>
                </c:pt>
                <c:pt idx="24">
                  <c:v>6</c:v>
                </c:pt>
                <c:pt idx="25">
                  <c:v>22</c:v>
                </c:pt>
                <c:pt idx="26">
                  <c:v>21</c:v>
                </c:pt>
                <c:pt idx="27">
                  <c:v>16</c:v>
                </c:pt>
                <c:pt idx="28">
                  <c:v>5</c:v>
                </c:pt>
                <c:pt idx="29">
                  <c:v>5</c:v>
                </c:pt>
                <c:pt idx="3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40"/>
        <c:axId val="209494528"/>
        <c:axId val="139330688"/>
      </c:barChart>
      <c:catAx>
        <c:axId val="20949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9330688"/>
        <c:crosses val="autoZero"/>
        <c:auto val="1"/>
        <c:lblAlgn val="ctr"/>
        <c:lblOffset val="100"/>
        <c:noMultiLvlLbl val="1"/>
      </c:catAx>
      <c:valAx>
        <c:axId val="13933068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crossAx val="209494528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5580000" cy="2592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25</xdr:row>
      <xdr:rowOff>0</xdr:rowOff>
    </xdr:from>
    <xdr:ext cx="5580000" cy="2232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38</xdr:row>
      <xdr:rowOff>0</xdr:rowOff>
    </xdr:from>
    <xdr:ext cx="11880000" cy="234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  <pageSetUpPr fitToPage="1"/>
  </sheetPr>
  <dimension ref="A2:S76"/>
  <sheetViews>
    <sheetView tabSelected="1" showGridLines="0" zoomScale="90" workbookViewId="0">
      <selection activeCell="A1" sqref="A1"/>
    </sheetView>
  </sheetViews>
  <sheetFormatPr baseColWidth="10" defaultColWidth="8.796875" defaultRowHeight="15.6" x14ac:dyDescent="0.3"/>
  <cols>
    <col min="1" max="1" width="2" style="30" customWidth="1"/>
    <col min="2" max="2" width="5" style="30" customWidth="1"/>
    <col min="3" max="3" width="36" style="30" customWidth="1"/>
    <col min="4" max="6" width="14" style="30" customWidth="1"/>
    <col min="7" max="7" width="18" style="30" customWidth="1"/>
    <col min="8" max="8" width="12" style="30" customWidth="1"/>
    <col min="9" max="9" width="3" style="30" customWidth="1"/>
    <col min="10" max="14" width="14" style="30" customWidth="1"/>
    <col min="15" max="16" width="3" style="30" customWidth="1"/>
    <col min="17" max="19" width="12" style="30" customWidth="1"/>
  </cols>
  <sheetData>
    <row r="2" spans="2:14" ht="37.950000000000003" customHeight="1" x14ac:dyDescent="0.3">
      <c r="B2" s="97" t="s">
        <v>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</row>
    <row r="3" spans="2:14" ht="19.95" customHeight="1" x14ac:dyDescent="0.3">
      <c r="B3" s="102">
        <f>"Período: "&amp;CHOOSE(MONTH($D$4),"Enero","Febrero","Marzo","Abril","Mayo","Junio","Julio","Agosto","Septiembre","Octubre","Noviembre","Diciembre")&amp;" "&amp;YEAR($D$4)&amp;"   ·   Fuente: hojas Reporte y LIQUIDACION   ·   Preparado por RR.HH."</f>
      </c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</row>
    <row r="4" spans="2:14" x14ac:dyDescent="0.3">
      <c r="C4" s="36" t="s">
        <v>1</v>
      </c>
      <c r="D4" s="37">
        <v>46266</v>
      </c>
      <c r="E4" s="38" t="s">
        <v>2</v>
      </c>
    </row>
    <row r="6" spans="2:14" ht="22.05" customHeight="1" x14ac:dyDescent="0.3">
      <c r="C6" s="39" t="s">
        <v>3</v>
      </c>
      <c r="D6" s="103" t="s">
        <v>4</v>
      </c>
      <c r="E6" s="104"/>
      <c r="F6" s="103" t="s">
        <v>5</v>
      </c>
      <c r="G6" s="104"/>
      <c r="J6" s="103" t="s">
        <v>6</v>
      </c>
      <c r="K6" s="104"/>
      <c r="L6" s="103" t="s">
        <v>7</v>
      </c>
      <c r="M6" s="104"/>
      <c r="N6" s="104"/>
    </row>
    <row r="7" spans="2:14" ht="34.049999999999997" customHeight="1" x14ac:dyDescent="0.3">
      <c r="C7" s="40">
        <f>SUMPRODUCT((Reporte!$K$2:$K$1000&lt;&gt;"")/COUNTIF(Reporte!$E$2:$E$1000,Reporte!$E$2:$E$1000&amp;""))</f>
      </c>
      <c r="D7" s="107">
        <f>SUMPRODUCT((Reporte!$K$2:$K$1000&lt;&gt;"")*Reporte!$H$2:$H$1000)</f>
      </c>
      <c r="E7" s="96"/>
      <c r="F7" s="106">
        <f>SUMPRODUCT((Reporte!$K$2:$K$1000&lt;&gt;"")*Reporte!$J$2:$J$1000)</f>
      </c>
      <c r="G7" s="96"/>
      <c r="J7" s="106">
        <f>IFERROR(F7/D7,0)</f>
      </c>
      <c r="K7" s="96"/>
      <c r="L7" s="101">
        <f>IFERROR(D7/C7,0)</f>
      </c>
      <c r="M7" s="96"/>
      <c r="N7" s="96"/>
    </row>
    <row r="9" spans="2:14" ht="22.05" customHeight="1" x14ac:dyDescent="0.3">
      <c r="C9" s="41" t="s">
        <v>8</v>
      </c>
      <c r="D9" s="99" t="s">
        <v>9</v>
      </c>
      <c r="E9" s="100"/>
      <c r="F9" s="99" t="s">
        <v>10</v>
      </c>
      <c r="G9" s="100"/>
      <c r="J9" s="99" t="s">
        <v>11</v>
      </c>
      <c r="K9" s="100"/>
      <c r="L9" s="99" t="s">
        <v>12</v>
      </c>
      <c r="M9" s="100"/>
      <c r="N9" s="100"/>
    </row>
    <row r="10" spans="2:14" ht="34.049999999999997" customHeight="1" x14ac:dyDescent="0.3">
      <c r="C10" s="42">
        <f>COUNT(Reporte!$K$2:$K$1000)</f>
      </c>
      <c r="D10" s="95">
        <f>IFERROR(INDEX(LIQUIDACION!$S:$S,IFERROR(MATCH("Total general",LIQUIDACION!$B:$B,0),MATCH("Total Result",LIQUIDACION!$B:$B,0))),0)</f>
      </c>
      <c r="E10" s="96"/>
      <c r="F10" s="95">
        <f>-IFERROR(INDEX(LIQUIDACION!$U:$U,IFERROR(MATCH("Total general",LIQUIDACION!$B:$B,0),MATCH("Total Result",LIQUIDACION!$B:$B,0))),0)</f>
      </c>
      <c r="G10" s="96"/>
      <c r="J10" s="95">
        <f>IFERROR(INDEX(LIQUIDACION!$W:$W,IFERROR(MATCH("Total general",LIQUIDACION!$B:$B,0),MATCH("Total Result",LIQUIDACION!$B:$B,0))),0)</f>
      </c>
      <c r="K10" s="96"/>
      <c r="L10" s="95">
        <f>IFERROR(INDEX(LIQUIDACION!$R:$R,IFERROR(MATCH("Total general",LIQUIDACION!$B:$B,0),MATCH("Total Result",LIQUIDACION!$B:$B,0))),0)</f>
      </c>
      <c r="M10" s="96"/>
      <c r="N10" s="96"/>
    </row>
    <row r="12" spans="2:14" ht="22.05" customHeight="1" x14ac:dyDescent="0.3">
      <c r="B12" s="93" t="s">
        <v>13</v>
      </c>
      <c r="C12" s="94"/>
      <c r="D12" s="94"/>
      <c r="E12" s="94"/>
      <c r="F12" s="94"/>
      <c r="G12" s="94"/>
      <c r="H12" s="94"/>
    </row>
    <row r="13" spans="2:14" ht="28.05" customHeight="1" x14ac:dyDescent="0.3">
      <c r="B13" s="43" t="s">
        <v>14</v>
      </c>
      <c r="C13" s="43" t="s">
        <v>15</v>
      </c>
      <c r="D13" s="43" t="s">
        <v>16</v>
      </c>
      <c r="E13" s="43" t="s">
        <v>17</v>
      </c>
      <c r="F13" s="43" t="s">
        <v>18</v>
      </c>
      <c r="G13" s="43" t="s">
        <v>19</v>
      </c>
      <c r="H13" s="43" t="s">
        <v>20</v>
      </c>
    </row>
    <row r="14" spans="2:14" x14ac:dyDescent="0.3">
      <c r="B14" s="44"/>
      <c r="C14" s="45"/>
      <c r="D14" s="46">
        <f>IFERROR(SUMIFS(Reporte!$J$2:$J$1000,Reporte!$G$2:$G$1000,$C14)/SUMIFS(Reporte!$H$2:$H$1000,Reporte!$G$2:$G$1000,$C14),0)</f>
      </c>
      <c r="E14" s="47">
        <f>SUMPRODUCT((Reporte!$G$2:$G$1000=$C14)/COUNTIFS(Reporte!$E$2:$E$1000,Reporte!$E$2:$E$1000&amp;"",Reporte!$G$2:$G$1000,Reporte!$G$2:$G$1000&amp;""))</f>
      </c>
      <c r="F14" s="47">
        <f>SUMIFS(Reporte!$H$2:$H$1000,Reporte!$G$2:$G$1000,$C14)</f>
      </c>
      <c r="G14" s="46">
        <f>SUMIFS(Reporte!$J$2:$J$1000,Reporte!$G$2:$G$1000,$C14)</f>
      </c>
      <c r="H14" s="48">
        <f t="shared" ref="H14:H22" si="0">IFERROR(G14/$G$23,0)</f>
      </c>
    </row>
    <row r="15" spans="2:14" x14ac:dyDescent="0.3">
      <c r="B15" s="49"/>
      <c r="C15" s="50"/>
      <c r="D15" s="51">
        <f>IFERROR(SUMIFS(Reporte!$J$2:$J$1000,Reporte!$G$2:$G$1000,$C15)/SUMIFS(Reporte!$H$2:$H$1000,Reporte!$G$2:$G$1000,$C15),0)</f>
      </c>
      <c r="E15" s="52">
        <f>SUMPRODUCT((Reporte!$G$2:$G$1000=$C15)/COUNTIFS(Reporte!$E$2:$E$1000,Reporte!$E$2:$E$1000&amp;"",Reporte!$G$2:$G$1000,Reporte!$G$2:$G$1000&amp;""))</f>
      </c>
      <c r="F15" s="52">
        <f>SUMIFS(Reporte!$H$2:$H$1000,Reporte!$G$2:$G$1000,$C15)</f>
      </c>
      <c r="G15" s="51">
        <f>SUMIFS(Reporte!$J$2:$J$1000,Reporte!$G$2:$G$1000,$C15)</f>
      </c>
      <c r="H15" s="53">
        <f t="shared" si="0"/>
      </c>
    </row>
    <row r="16" spans="2:14" x14ac:dyDescent="0.3">
      <c r="B16" s="44"/>
      <c r="C16" s="45"/>
      <c r="D16" s="46">
        <f>IFERROR(SUMIFS(Reporte!$J$2:$J$1000,Reporte!$G$2:$G$1000,$C16)/SUMIFS(Reporte!$H$2:$H$1000,Reporte!$G$2:$G$1000,$C16),0)</f>
      </c>
      <c r="E16" s="47">
        <f>SUMPRODUCT((Reporte!$G$2:$G$1000=$C16)/COUNTIFS(Reporte!$E$2:$E$1000,Reporte!$E$2:$E$1000&amp;"",Reporte!$G$2:$G$1000,Reporte!$G$2:$G$1000&amp;""))</f>
      </c>
      <c r="F16" s="47">
        <f>SUMIFS(Reporte!$H$2:$H$1000,Reporte!$G$2:$G$1000,$C16)</f>
      </c>
      <c r="G16" s="46">
        <f>SUMIFS(Reporte!$J$2:$J$1000,Reporte!$G$2:$G$1000,$C16)</f>
      </c>
      <c r="H16" s="48">
        <f t="shared" si="0"/>
      </c>
    </row>
    <row r="17" spans="2:8" x14ac:dyDescent="0.3">
      <c r="B17" s="49"/>
      <c r="C17" s="50"/>
      <c r="D17" s="51">
        <f>IFERROR(SUMIFS(Reporte!$J$2:$J$1000,Reporte!$G$2:$G$1000,$C17)/SUMIFS(Reporte!$H$2:$H$1000,Reporte!$G$2:$G$1000,$C17),0)</f>
      </c>
      <c r="E17" s="52">
        <f>SUMPRODUCT((Reporte!$G$2:$G$1000=$C17)/COUNTIFS(Reporte!$E$2:$E$1000,Reporte!$E$2:$E$1000&amp;"",Reporte!$G$2:$G$1000,Reporte!$G$2:$G$1000&amp;""))</f>
      </c>
      <c r="F17" s="52">
        <f>SUMIFS(Reporte!$H$2:$H$1000,Reporte!$G$2:$G$1000,$C17)</f>
      </c>
      <c r="G17" s="51">
        <f>SUMIFS(Reporte!$J$2:$J$1000,Reporte!$G$2:$G$1000,$C17)</f>
      </c>
      <c r="H17" s="53">
        <f t="shared" si="0"/>
      </c>
    </row>
    <row r="18" spans="2:8" x14ac:dyDescent="0.3">
      <c r="B18" s="44"/>
      <c r="C18" s="45"/>
      <c r="D18" s="46">
        <f>IFERROR(SUMIFS(Reporte!$J$2:$J$1000,Reporte!$G$2:$G$1000,$C18)/SUMIFS(Reporte!$H$2:$H$1000,Reporte!$G$2:$G$1000,$C18),0)</f>
      </c>
      <c r="E18" s="47">
        <f>SUMPRODUCT((Reporte!$G$2:$G$1000=$C18)/COUNTIFS(Reporte!$E$2:$E$1000,Reporte!$E$2:$E$1000&amp;"",Reporte!$G$2:$G$1000,Reporte!$G$2:$G$1000&amp;""))</f>
      </c>
      <c r="F18" s="47">
        <f>SUMIFS(Reporte!$H$2:$H$1000,Reporte!$G$2:$G$1000,$C18)</f>
      </c>
      <c r="G18" s="46">
        <f>SUMIFS(Reporte!$J$2:$J$1000,Reporte!$G$2:$G$1000,$C18)</f>
      </c>
      <c r="H18" s="48">
        <f t="shared" si="0"/>
      </c>
    </row>
    <row r="19" spans="2:8" x14ac:dyDescent="0.3">
      <c r="B19" s="49"/>
      <c r="C19" s="50"/>
      <c r="D19" s="51">
        <f>IFERROR(SUMIFS(Reporte!$J$2:$J$1000,Reporte!$G$2:$G$1000,$C19)/SUMIFS(Reporte!$H$2:$H$1000,Reporte!$G$2:$G$1000,$C19),0)</f>
      </c>
      <c r="E19" s="52">
        <f>SUMPRODUCT((Reporte!$G$2:$G$1000=$C19)/COUNTIFS(Reporte!$E$2:$E$1000,Reporte!$E$2:$E$1000&amp;"",Reporte!$G$2:$G$1000,Reporte!$G$2:$G$1000&amp;""))</f>
      </c>
      <c r="F19" s="52">
        <f>SUMIFS(Reporte!$H$2:$H$1000,Reporte!$G$2:$G$1000,$C19)</f>
      </c>
      <c r="G19" s="51">
        <f>SUMIFS(Reporte!$J$2:$J$1000,Reporte!$G$2:$G$1000,$C19)</f>
      </c>
      <c r="H19" s="53">
        <f t="shared" si="0"/>
      </c>
    </row>
    <row r="20" spans="2:8" x14ac:dyDescent="0.3">
      <c r="B20" s="44"/>
      <c r="C20" s="45"/>
      <c r="D20" s="46">
        <f>IFERROR(SUMIFS(Reporte!$J$2:$J$1000,Reporte!$G$2:$G$1000,$C20)/SUMIFS(Reporte!$H$2:$H$1000,Reporte!$G$2:$G$1000,$C20),0)</f>
      </c>
      <c r="E20" s="47">
        <f>SUMPRODUCT((Reporte!$G$2:$G$1000=$C20)/COUNTIFS(Reporte!$E$2:$E$1000,Reporte!$E$2:$E$1000&amp;"",Reporte!$G$2:$G$1000,Reporte!$G$2:$G$1000&amp;""))</f>
      </c>
      <c r="F20" s="47">
        <f>SUMIFS(Reporte!$H$2:$H$1000,Reporte!$G$2:$G$1000,$C20)</f>
      </c>
      <c r="G20" s="46">
        <f>SUMIFS(Reporte!$J$2:$J$1000,Reporte!$G$2:$G$1000,$C20)</f>
      </c>
      <c r="H20" s="48">
        <f t="shared" si="0"/>
      </c>
    </row>
    <row r="21" spans="2:8" x14ac:dyDescent="0.3">
      <c r="B21" s="49"/>
      <c r="C21" s="50"/>
      <c r="D21" s="51">
        <f>IFERROR(SUMIFS(Reporte!$J$2:$J$1000,Reporte!$G$2:$G$1000,$C21)/SUMIFS(Reporte!$H$2:$H$1000,Reporte!$G$2:$G$1000,$C21),0)</f>
      </c>
      <c r="E21" s="52">
        <f>SUMPRODUCT((Reporte!$G$2:$G$1000=$C21)/COUNTIFS(Reporte!$E$2:$E$1000,Reporte!$E$2:$E$1000&amp;"",Reporte!$G$2:$G$1000,Reporte!$G$2:$G$1000&amp;""))</f>
      </c>
      <c r="F21" s="52">
        <f>SUMIFS(Reporte!$H$2:$H$1000,Reporte!$G$2:$G$1000,$C21)</f>
      </c>
      <c r="G21" s="51">
        <f>SUMIFS(Reporte!$J$2:$J$1000,Reporte!$G$2:$G$1000,$C21)</f>
      </c>
      <c r="H21" s="53">
        <f t="shared" si="0"/>
      </c>
    </row>
    <row r="22" spans="2:8" x14ac:dyDescent="0.3">
      <c r="B22" s="44"/>
      <c r="C22" s="45"/>
      <c r="D22" s="46">
        <f>IFERROR(SUMIFS(Reporte!$J$2:$J$1000,Reporte!$G$2:$G$1000,$C22)/SUMIFS(Reporte!$H$2:$H$1000,Reporte!$G$2:$G$1000,$C22),0)</f>
      </c>
      <c r="E22" s="47">
        <f>SUMPRODUCT((Reporte!$G$2:$G$1000=$C22)/COUNTIFS(Reporte!$E$2:$E$1000,Reporte!$E$2:$E$1000&amp;"",Reporte!$G$2:$G$1000,Reporte!$G$2:$G$1000&amp;""))</f>
      </c>
      <c r="F22" s="47">
        <f>SUMIFS(Reporte!$H$2:$H$1000,Reporte!$G$2:$G$1000,$C22)</f>
      </c>
      <c r="G22" s="46">
        <f>SUMIFS(Reporte!$J$2:$J$1000,Reporte!$G$2:$G$1000,$C22)</f>
      </c>
      <c r="H22" s="48">
        <f t="shared" si="0"/>
      </c>
    </row>
    <row r="23" spans="2:8" x14ac:dyDescent="0.3">
      <c r="B23" s="54"/>
      <c r="C23" s="54" t="s">
        <v>21</v>
      </c>
      <c r="D23" s="54"/>
      <c r="E23" s="55">
        <f>SUM(E14:E22)</f>
      </c>
      <c r="F23" s="55">
        <f>SUM(F14:F22)</f>
      </c>
      <c r="G23" s="56">
        <f>SUM(G14:G22)</f>
      </c>
      <c r="H23" s="57">
        <f>SUM(H14:H22)</f>
      </c>
    </row>
    <row r="24" spans="2:8" x14ac:dyDescent="0.3">
      <c r="C24" s="38">
        <f>IF(F23&lt;&gt;D7,"⚠ Hay jornadas con categoría no listada en esta tabla","✓ Cuadra con el total de jornadas")</f>
      </c>
      <c r="F24" s="38" t="s">
        <v>22</v>
      </c>
    </row>
    <row r="26" spans="2:8" ht="22.05" customHeight="1" x14ac:dyDescent="0.3">
      <c r="B26" s="93" t="s">
        <v>23</v>
      </c>
      <c r="C26" s="94"/>
      <c r="D26" s="94"/>
      <c r="E26" s="94"/>
      <c r="F26" s="94"/>
      <c r="G26" s="94"/>
      <c r="H26" s="94"/>
    </row>
    <row r="27" spans="2:8" ht="28.05" customHeight="1" x14ac:dyDescent="0.3">
      <c r="C27" s="43" t="s">
        <v>24</v>
      </c>
      <c r="D27" s="43" t="s">
        <v>18</v>
      </c>
      <c r="E27" s="43" t="s">
        <v>25</v>
      </c>
      <c r="F27" s="43" t="s">
        <v>26</v>
      </c>
    </row>
    <row r="28" spans="2:8" x14ac:dyDescent="0.3">
      <c r="C28" s="45" t="s">
        <v>27</v>
      </c>
      <c r="D28" s="47">
        <f>SUMPRODUCT((Reporte!$K$2:$K$1000&lt;&gt;"")*(WEEKDAY(Reporte!$K$2:$K$1000,2)=1)*Reporte!$H$2:$H$1000)</f>
      </c>
      <c r="E28" s="48">
        <f t="shared" ref="E28:E34" si="1">IFERROR(D28/$D$7,0)</f>
      </c>
      <c r="F28" s="47">
        <f>SUMPRODUCT((Reporte!$K$2:$K$1000&lt;&gt;"")*(WEEKDAY(Reporte!$K$2:$K$1000,2)=1))</f>
      </c>
    </row>
    <row r="29" spans="2:8" x14ac:dyDescent="0.3">
      <c r="C29" s="45" t="s">
        <v>28</v>
      </c>
      <c r="D29" s="47">
        <f>SUMPRODUCT((Reporte!$K$2:$K$1000&lt;&gt;"")*(WEEKDAY(Reporte!$K$2:$K$1000,2)=2)*Reporte!$H$2:$H$1000)</f>
      </c>
      <c r="E29" s="48">
        <f t="shared" si="1"/>
      </c>
      <c r="F29" s="47">
        <f>SUMPRODUCT((Reporte!$K$2:$K$1000&lt;&gt;"")*(WEEKDAY(Reporte!$K$2:$K$1000,2)=2))</f>
      </c>
    </row>
    <row r="30" spans="2:8" x14ac:dyDescent="0.3">
      <c r="C30" s="45" t="s">
        <v>29</v>
      </c>
      <c r="D30" s="47">
        <f>SUMPRODUCT((Reporte!$K$2:$K$1000&lt;&gt;"")*(WEEKDAY(Reporte!$K$2:$K$1000,2)=3)*Reporte!$H$2:$H$1000)</f>
      </c>
      <c r="E30" s="48">
        <f t="shared" si="1"/>
      </c>
      <c r="F30" s="47">
        <f>SUMPRODUCT((Reporte!$K$2:$K$1000&lt;&gt;"")*(WEEKDAY(Reporte!$K$2:$K$1000,2)=3))</f>
      </c>
    </row>
    <row r="31" spans="2:8" x14ac:dyDescent="0.3">
      <c r="C31" s="45" t="s">
        <v>30</v>
      </c>
      <c r="D31" s="47">
        <f>SUMPRODUCT((Reporte!$K$2:$K$1000&lt;&gt;"")*(WEEKDAY(Reporte!$K$2:$K$1000,2)=4)*Reporte!$H$2:$H$1000)</f>
      </c>
      <c r="E31" s="48">
        <f t="shared" si="1"/>
      </c>
      <c r="F31" s="47">
        <f>SUMPRODUCT((Reporte!$K$2:$K$1000&lt;&gt;"")*(WEEKDAY(Reporte!$K$2:$K$1000,2)=4))</f>
      </c>
    </row>
    <row r="32" spans="2:8" x14ac:dyDescent="0.3">
      <c r="C32" s="45" t="s">
        <v>31</v>
      </c>
      <c r="D32" s="47">
        <f>SUMPRODUCT((Reporte!$K$2:$K$1000&lt;&gt;"")*(WEEKDAY(Reporte!$K$2:$K$1000,2)=5)*Reporte!$H$2:$H$1000)</f>
      </c>
      <c r="E32" s="48">
        <f t="shared" si="1"/>
      </c>
      <c r="F32" s="47">
        <f>SUMPRODUCT((Reporte!$K$2:$K$1000&lt;&gt;"")*(WEEKDAY(Reporte!$K$2:$K$1000,2)=5))</f>
      </c>
    </row>
    <row r="33" spans="2:19" x14ac:dyDescent="0.3">
      <c r="C33" s="58" t="s">
        <v>32</v>
      </c>
      <c r="D33" s="59">
        <f>SUMPRODUCT((Reporte!$K$2:$K$1000&lt;&gt;"")*(WEEKDAY(Reporte!$K$2:$K$1000,2)=6)*Reporte!$H$2:$H$1000)</f>
      </c>
      <c r="E33" s="60">
        <f t="shared" si="1"/>
      </c>
      <c r="F33" s="59">
        <f>SUMPRODUCT((Reporte!$K$2:$K$1000&lt;&gt;"")*(WEEKDAY(Reporte!$K$2:$K$1000,2)=6))</f>
      </c>
    </row>
    <row r="34" spans="2:19" x14ac:dyDescent="0.3">
      <c r="C34" s="58" t="s">
        <v>33</v>
      </c>
      <c r="D34" s="59">
        <f>SUMPRODUCT((Reporte!$K$2:$K$1000&lt;&gt;"")*(WEEKDAY(Reporte!$K$2:$K$1000,2)=7)*Reporte!$H$2:$H$1000)</f>
      </c>
      <c r="E34" s="60">
        <f t="shared" si="1"/>
      </c>
      <c r="F34" s="59">
        <f>SUMPRODUCT((Reporte!$K$2:$K$1000&lt;&gt;"")*(WEEKDAY(Reporte!$K$2:$K$1000,2)=7))</f>
      </c>
    </row>
    <row r="35" spans="2:19" x14ac:dyDescent="0.3">
      <c r="C35" s="61" t="s">
        <v>34</v>
      </c>
      <c r="D35" s="62">
        <f>D33+D34</f>
      </c>
      <c r="E35" s="63">
        <f>E33+E34</f>
      </c>
      <c r="F35" s="62">
        <f>F33+F34</f>
      </c>
    </row>
    <row r="36" spans="2:19" x14ac:dyDescent="0.3">
      <c r="C36" s="38" t="s">
        <v>35</v>
      </c>
    </row>
    <row r="38" spans="2:19" ht="22.05" customHeight="1" x14ac:dyDescent="0.3">
      <c r="B38" s="93" t="s">
        <v>36</v>
      </c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Q38" s="64" t="s">
        <v>37</v>
      </c>
    </row>
    <row r="39" spans="2:19" ht="28.05" customHeight="1" x14ac:dyDescent="0.3">
      <c r="Q39" s="43" t="s">
        <v>24</v>
      </c>
      <c r="R39" s="43" t="s">
        <v>18</v>
      </c>
      <c r="S39" s="43" t="s">
        <v>19</v>
      </c>
    </row>
    <row r="40" spans="2:19" x14ac:dyDescent="0.3">
      <c r="Q40" s="44">
        <v>1</v>
      </c>
      <c r="R40" s="47">
        <f>SUMPRODUCT((Reporte!$K$2:$K$1000&lt;&gt;"")*(YEAR(Reporte!$K$2:$K$1000)=YEAR($D$4))*(MONTH(Reporte!$K$2:$K$1000)=MONTH($D$4))*(DAY(Reporte!$K$2:$K$1000)=1)*Reporte!$H$2:$H$1000)</f>
      </c>
      <c r="S40" s="46">
        <f>SUMPRODUCT((Reporte!$K$2:$K$1000&lt;&gt;"")*(YEAR(Reporte!$K$2:$K$1000)=YEAR($D$4))*(MONTH(Reporte!$K$2:$K$1000)=MONTH($D$4))*(DAY(Reporte!$K$2:$K$1000)=1)*Reporte!$J$2:$J$1000)</f>
      </c>
    </row>
    <row r="41" spans="2:19" x14ac:dyDescent="0.3">
      <c r="Q41" s="44">
        <v>2</v>
      </c>
      <c r="R41" s="47">
        <f>SUMPRODUCT((Reporte!$K$2:$K$1000&lt;&gt;"")*(YEAR(Reporte!$K$2:$K$1000)=YEAR($D$4))*(MONTH(Reporte!$K$2:$K$1000)=MONTH($D$4))*(DAY(Reporte!$K$2:$K$1000)=2)*Reporte!$H$2:$H$1000)</f>
      </c>
      <c r="S41" s="46">
        <f>SUMPRODUCT((Reporte!$K$2:$K$1000&lt;&gt;"")*(YEAR(Reporte!$K$2:$K$1000)=YEAR($D$4))*(MONTH(Reporte!$K$2:$K$1000)=MONTH($D$4))*(DAY(Reporte!$K$2:$K$1000)=2)*Reporte!$J$2:$J$1000)</f>
      </c>
    </row>
    <row r="42" spans="2:19" x14ac:dyDescent="0.3">
      <c r="Q42" s="44">
        <v>3</v>
      </c>
      <c r="R42" s="47">
        <f>SUMPRODUCT((Reporte!$K$2:$K$1000&lt;&gt;"")*(YEAR(Reporte!$K$2:$K$1000)=YEAR($D$4))*(MONTH(Reporte!$K$2:$K$1000)=MONTH($D$4))*(DAY(Reporte!$K$2:$K$1000)=3)*Reporte!$H$2:$H$1000)</f>
      </c>
      <c r="S42" s="46">
        <f>SUMPRODUCT((Reporte!$K$2:$K$1000&lt;&gt;"")*(YEAR(Reporte!$K$2:$K$1000)=YEAR($D$4))*(MONTH(Reporte!$K$2:$K$1000)=MONTH($D$4))*(DAY(Reporte!$K$2:$K$1000)=3)*Reporte!$J$2:$J$1000)</f>
      </c>
    </row>
    <row r="43" spans="2:19" x14ac:dyDescent="0.3">
      <c r="Q43" s="44">
        <v>4</v>
      </c>
      <c r="R43" s="47">
        <f>SUMPRODUCT((Reporte!$K$2:$K$1000&lt;&gt;"")*(YEAR(Reporte!$K$2:$K$1000)=YEAR($D$4))*(MONTH(Reporte!$K$2:$K$1000)=MONTH($D$4))*(DAY(Reporte!$K$2:$K$1000)=4)*Reporte!$H$2:$H$1000)</f>
      </c>
      <c r="S43" s="46">
        <f>SUMPRODUCT((Reporte!$K$2:$K$1000&lt;&gt;"")*(YEAR(Reporte!$K$2:$K$1000)=YEAR($D$4))*(MONTH(Reporte!$K$2:$K$1000)=MONTH($D$4))*(DAY(Reporte!$K$2:$K$1000)=4)*Reporte!$J$2:$J$1000)</f>
      </c>
    </row>
    <row r="44" spans="2:19" x14ac:dyDescent="0.3">
      <c r="Q44" s="44">
        <v>5</v>
      </c>
      <c r="R44" s="47">
        <f>SUMPRODUCT((Reporte!$K$2:$K$1000&lt;&gt;"")*(YEAR(Reporte!$K$2:$K$1000)=YEAR($D$4))*(MONTH(Reporte!$K$2:$K$1000)=MONTH($D$4))*(DAY(Reporte!$K$2:$K$1000)=5)*Reporte!$H$2:$H$1000)</f>
      </c>
      <c r="S44" s="46">
        <f>SUMPRODUCT((Reporte!$K$2:$K$1000&lt;&gt;"")*(YEAR(Reporte!$K$2:$K$1000)=YEAR($D$4))*(MONTH(Reporte!$K$2:$K$1000)=MONTH($D$4))*(DAY(Reporte!$K$2:$K$1000)=5)*Reporte!$J$2:$J$1000)</f>
      </c>
    </row>
    <row r="45" spans="2:19" x14ac:dyDescent="0.3">
      <c r="Q45" s="44">
        <v>6</v>
      </c>
      <c r="R45" s="47">
        <f>SUMPRODUCT((Reporte!$K$2:$K$1000&lt;&gt;"")*(YEAR(Reporte!$K$2:$K$1000)=YEAR($D$4))*(MONTH(Reporte!$K$2:$K$1000)=MONTH($D$4))*(DAY(Reporte!$K$2:$K$1000)=6)*Reporte!$H$2:$H$1000)</f>
      </c>
      <c r="S45" s="46">
        <f>SUMPRODUCT((Reporte!$K$2:$K$1000&lt;&gt;"")*(YEAR(Reporte!$K$2:$K$1000)=YEAR($D$4))*(MONTH(Reporte!$K$2:$K$1000)=MONTH($D$4))*(DAY(Reporte!$K$2:$K$1000)=6)*Reporte!$J$2:$J$1000)</f>
      </c>
    </row>
    <row r="46" spans="2:19" x14ac:dyDescent="0.3">
      <c r="Q46" s="44">
        <v>7</v>
      </c>
      <c r="R46" s="47">
        <f>SUMPRODUCT((Reporte!$K$2:$K$1000&lt;&gt;"")*(YEAR(Reporte!$K$2:$K$1000)=YEAR($D$4))*(MONTH(Reporte!$K$2:$K$1000)=MONTH($D$4))*(DAY(Reporte!$K$2:$K$1000)=7)*Reporte!$H$2:$H$1000)</f>
      </c>
      <c r="S46" s="46">
        <f>SUMPRODUCT((Reporte!$K$2:$K$1000&lt;&gt;"")*(YEAR(Reporte!$K$2:$K$1000)=YEAR($D$4))*(MONTH(Reporte!$K$2:$K$1000)=MONTH($D$4))*(DAY(Reporte!$K$2:$K$1000)=7)*Reporte!$J$2:$J$1000)</f>
      </c>
    </row>
    <row r="47" spans="2:19" x14ac:dyDescent="0.3">
      <c r="Q47" s="44">
        <v>8</v>
      </c>
      <c r="R47" s="47">
        <f>SUMPRODUCT((Reporte!$K$2:$K$1000&lt;&gt;"")*(YEAR(Reporte!$K$2:$K$1000)=YEAR($D$4))*(MONTH(Reporte!$K$2:$K$1000)=MONTH($D$4))*(DAY(Reporte!$K$2:$K$1000)=8)*Reporte!$H$2:$H$1000)</f>
      </c>
      <c r="S47" s="46">
        <f>SUMPRODUCT((Reporte!$K$2:$K$1000&lt;&gt;"")*(YEAR(Reporte!$K$2:$K$1000)=YEAR($D$4))*(MONTH(Reporte!$K$2:$K$1000)=MONTH($D$4))*(DAY(Reporte!$K$2:$K$1000)=8)*Reporte!$J$2:$J$1000)</f>
      </c>
    </row>
    <row r="48" spans="2:19" x14ac:dyDescent="0.3">
      <c r="Q48" s="44">
        <v>9</v>
      </c>
      <c r="R48" s="47">
        <f>SUMPRODUCT((Reporte!$K$2:$K$1000&lt;&gt;"")*(YEAR(Reporte!$K$2:$K$1000)=YEAR($D$4))*(MONTH(Reporte!$K$2:$K$1000)=MONTH($D$4))*(DAY(Reporte!$K$2:$K$1000)=9)*Reporte!$H$2:$H$1000)</f>
      </c>
      <c r="S48" s="46">
        <f>SUMPRODUCT((Reporte!$K$2:$K$1000&lt;&gt;"")*(YEAR(Reporte!$K$2:$K$1000)=YEAR($D$4))*(MONTH(Reporte!$K$2:$K$1000)=MONTH($D$4))*(DAY(Reporte!$K$2:$K$1000)=9)*Reporte!$J$2:$J$1000)</f>
      </c>
    </row>
    <row r="49" spans="2:19" x14ac:dyDescent="0.3">
      <c r="Q49" s="44">
        <v>10</v>
      </c>
      <c r="R49" s="47">
        <f>SUMPRODUCT((Reporte!$K$2:$K$1000&lt;&gt;"")*(YEAR(Reporte!$K$2:$K$1000)=YEAR($D$4))*(MONTH(Reporte!$K$2:$K$1000)=MONTH($D$4))*(DAY(Reporte!$K$2:$K$1000)=10)*Reporte!$H$2:$H$1000)</f>
      </c>
      <c r="S49" s="46">
        <f>SUMPRODUCT((Reporte!$K$2:$K$1000&lt;&gt;"")*(YEAR(Reporte!$K$2:$K$1000)=YEAR($D$4))*(MONTH(Reporte!$K$2:$K$1000)=MONTH($D$4))*(DAY(Reporte!$K$2:$K$1000)=10)*Reporte!$J$2:$J$1000)</f>
      </c>
    </row>
    <row r="50" spans="2:19" x14ac:dyDescent="0.3">
      <c r="Q50" s="44">
        <v>11</v>
      </c>
      <c r="R50" s="47">
        <f>SUMPRODUCT((Reporte!$K$2:$K$1000&lt;&gt;"")*(YEAR(Reporte!$K$2:$K$1000)=YEAR($D$4))*(MONTH(Reporte!$K$2:$K$1000)=MONTH($D$4))*(DAY(Reporte!$K$2:$K$1000)=11)*Reporte!$H$2:$H$1000)</f>
      </c>
      <c r="S50" s="46">
        <f>SUMPRODUCT((Reporte!$K$2:$K$1000&lt;&gt;"")*(YEAR(Reporte!$K$2:$K$1000)=YEAR($D$4))*(MONTH(Reporte!$K$2:$K$1000)=MONTH($D$4))*(DAY(Reporte!$K$2:$K$1000)=11)*Reporte!$J$2:$J$1000)</f>
      </c>
    </row>
    <row r="51" spans="2:19" x14ac:dyDescent="0.3">
      <c r="Q51" s="44">
        <v>12</v>
      </c>
      <c r="R51" s="47">
        <f>SUMPRODUCT((Reporte!$K$2:$K$1000&lt;&gt;"")*(YEAR(Reporte!$K$2:$K$1000)=YEAR($D$4))*(MONTH(Reporte!$K$2:$K$1000)=MONTH($D$4))*(DAY(Reporte!$K$2:$K$1000)=12)*Reporte!$H$2:$H$1000)</f>
      </c>
      <c r="S51" s="46">
        <f>SUMPRODUCT((Reporte!$K$2:$K$1000&lt;&gt;"")*(YEAR(Reporte!$K$2:$K$1000)=YEAR($D$4))*(MONTH(Reporte!$K$2:$K$1000)=MONTH($D$4))*(DAY(Reporte!$K$2:$K$1000)=12)*Reporte!$J$2:$J$1000)</f>
      </c>
    </row>
    <row r="52" spans="2:19" x14ac:dyDescent="0.3">
      <c r="Q52" s="44">
        <v>13</v>
      </c>
      <c r="R52" s="47">
        <f>SUMPRODUCT((Reporte!$K$2:$K$1000&lt;&gt;"")*(YEAR(Reporte!$K$2:$K$1000)=YEAR($D$4))*(MONTH(Reporte!$K$2:$K$1000)=MONTH($D$4))*(DAY(Reporte!$K$2:$K$1000)=13)*Reporte!$H$2:$H$1000)</f>
      </c>
      <c r="S52" s="46">
        <f>SUMPRODUCT((Reporte!$K$2:$K$1000&lt;&gt;"")*(YEAR(Reporte!$K$2:$K$1000)=YEAR($D$4))*(MONTH(Reporte!$K$2:$K$1000)=MONTH($D$4))*(DAY(Reporte!$K$2:$K$1000)=13)*Reporte!$J$2:$J$1000)</f>
      </c>
    </row>
    <row r="53" spans="2:19" ht="22.05" customHeight="1" x14ac:dyDescent="0.3">
      <c r="B53" s="93" t="s">
        <v>38</v>
      </c>
      <c r="C53" s="94"/>
      <c r="D53" s="94"/>
      <c r="E53" s="94"/>
      <c r="F53" s="94"/>
      <c r="G53" s="94"/>
      <c r="H53" s="94"/>
      <c r="J53" s="93" t="s">
        <v>39</v>
      </c>
      <c r="K53" s="94"/>
      <c r="L53" s="94"/>
      <c r="M53" s="94"/>
      <c r="N53" s="94"/>
      <c r="Q53" s="44">
        <v>14</v>
      </c>
      <c r="R53" s="47">
        <f>SUMPRODUCT((Reporte!$K$2:$K$1000&lt;&gt;"")*(YEAR(Reporte!$K$2:$K$1000)=YEAR($D$4))*(MONTH(Reporte!$K$2:$K$1000)=MONTH($D$4))*(DAY(Reporte!$K$2:$K$1000)=14)*Reporte!$H$2:$H$1000)</f>
      </c>
      <c r="S53" s="46">
        <f>SUMPRODUCT((Reporte!$K$2:$K$1000&lt;&gt;"")*(YEAR(Reporte!$K$2:$K$1000)=YEAR($D$4))*(MONTH(Reporte!$K$2:$K$1000)=MONTH($D$4))*(DAY(Reporte!$K$2:$K$1000)=14)*Reporte!$J$2:$J$1000)</f>
      </c>
    </row>
    <row r="54" spans="2:19" ht="28.05" customHeight="1" x14ac:dyDescent="0.3">
      <c r="B54" s="43" t="s">
        <v>40</v>
      </c>
      <c r="C54" s="43" t="s">
        <v>41</v>
      </c>
      <c r="D54" s="43" t="s">
        <v>18</v>
      </c>
      <c r="E54" s="43" t="s">
        <v>19</v>
      </c>
      <c r="F54" s="43" t="s">
        <v>20</v>
      </c>
      <c r="G54" s="43" t="s">
        <v>42</v>
      </c>
      <c r="J54" s="108" t="s">
        <v>43</v>
      </c>
      <c r="K54" s="98"/>
      <c r="L54" s="98"/>
      <c r="M54" s="108" t="s">
        <v>44</v>
      </c>
      <c r="N54" s="98"/>
      <c r="Q54" s="44">
        <v>15</v>
      </c>
      <c r="R54" s="47">
        <f>SUMPRODUCT((Reporte!$K$2:$K$1000&lt;&gt;"")*(YEAR(Reporte!$K$2:$K$1000)=YEAR($D$4))*(MONTH(Reporte!$K$2:$K$1000)=MONTH($D$4))*(DAY(Reporte!$K$2:$K$1000)=15)*Reporte!$H$2:$H$1000)</f>
      </c>
      <c r="S54" s="46">
        <f>SUMPRODUCT((Reporte!$K$2:$K$1000&lt;&gt;"")*(YEAR(Reporte!$K$2:$K$1000)=YEAR($D$4))*(MONTH(Reporte!$K$2:$K$1000)=MONTH($D$4))*(DAY(Reporte!$K$2:$K$1000)=15)*Reporte!$J$2:$J$1000)</f>
      </c>
    </row>
    <row r="55" spans="2:19" x14ac:dyDescent="0.3">
      <c r="B55" s="44">
        <v>1</v>
      </c>
      <c r="C55" s="45">
        <f>IFERROR(PROPER(TRIM(INDEX(LIQUIDACION!$B$4:$B$400,MATCH(E55,LIQUIDACION!$E$4:$E$400,0)))),"")</f>
      </c>
      <c r="D55" s="47">
        <f>IFERROR(INDEX(LIQUIDACION!$D$4:$D$400,MATCH(E55,LIQUIDACION!$E$4:$E$400,0)),0)</f>
      </c>
      <c r="E55" s="46">
        <f>IFERROR(LARGE(LIQUIDACION!$E$4:$E$400,B55+1),0)</f>
      </c>
      <c r="F55" s="48">
        <f t="shared" ref="F55:F64" si="2">IFERROR(E55/$F$7,0)</f>
      </c>
      <c r="G55" s="48">
        <f>SUM($F$55:F55)</f>
      </c>
      <c r="J55" s="92" t="s">
        <v>45</v>
      </c>
      <c r="K55" s="92"/>
      <c r="L55" s="92"/>
      <c r="M55" s="91">
        <f>IFERROR(INDEX(LIQUIDACION!$E:$E,IFERROR(MATCH("Total general",LIQUIDACION!$B:$B,0),MATCH("Total Result",LIQUIDACION!$B:$B,0))),0)</f>
      </c>
      <c r="N55" s="92"/>
      <c r="Q55" s="44">
        <v>16</v>
      </c>
      <c r="R55" s="47">
        <f>SUMPRODUCT((Reporte!$K$2:$K$1000&lt;&gt;"")*(YEAR(Reporte!$K$2:$K$1000)=YEAR($D$4))*(MONTH(Reporte!$K$2:$K$1000)=MONTH($D$4))*(DAY(Reporte!$K$2:$K$1000)=16)*Reporte!$H$2:$H$1000)</f>
      </c>
      <c r="S55" s="46">
        <f>SUMPRODUCT((Reporte!$K$2:$K$1000&lt;&gt;"")*(YEAR(Reporte!$K$2:$K$1000)=YEAR($D$4))*(MONTH(Reporte!$K$2:$K$1000)=MONTH($D$4))*(DAY(Reporte!$K$2:$K$1000)=16)*Reporte!$J$2:$J$1000)</f>
      </c>
    </row>
    <row r="56" spans="2:19" x14ac:dyDescent="0.3">
      <c r="B56" s="49">
        <v>2</v>
      </c>
      <c r="C56" s="50">
        <f>IFERROR(PROPER(TRIM(INDEX(LIQUIDACION!$B$4:$B$400,MATCH(E56,LIQUIDACION!$E$4:$E$400,0)))),"")</f>
      </c>
      <c r="D56" s="52">
        <f>IFERROR(INDEX(LIQUIDACION!$D$4:$D$400,MATCH(E56,LIQUIDACION!$E$4:$E$400,0)),0)</f>
      </c>
      <c r="E56" s="51">
        <f>IFERROR(LARGE(LIQUIDACION!$E$4:$E$400,B56+1),0)</f>
      </c>
      <c r="F56" s="53">
        <f t="shared" si="2"/>
      </c>
      <c r="G56" s="53">
        <f>SUM($F$55:F56)</f>
      </c>
      <c r="J56" s="92" t="s">
        <v>46</v>
      </c>
      <c r="K56" s="92"/>
      <c r="L56" s="92"/>
      <c r="M56" s="91">
        <f>IFERROR(INDEX(LIQUIDACION!$M:$M,IFERROR(MATCH("Total general",LIQUIDACION!$B:$B,0),MATCH("Total Result",LIQUIDACION!$B:$B,0))),0)</f>
      </c>
      <c r="N56" s="92"/>
      <c r="Q56" s="44">
        <v>17</v>
      </c>
      <c r="R56" s="47">
        <f>SUMPRODUCT((Reporte!$K$2:$K$1000&lt;&gt;"")*(YEAR(Reporte!$K$2:$K$1000)=YEAR($D$4))*(MONTH(Reporte!$K$2:$K$1000)=MONTH($D$4))*(DAY(Reporte!$K$2:$K$1000)=17)*Reporte!$H$2:$H$1000)</f>
      </c>
      <c r="S56" s="46">
        <f>SUMPRODUCT((Reporte!$K$2:$K$1000&lt;&gt;"")*(YEAR(Reporte!$K$2:$K$1000)=YEAR($D$4))*(MONTH(Reporte!$K$2:$K$1000)=MONTH($D$4))*(DAY(Reporte!$K$2:$K$1000)=17)*Reporte!$J$2:$J$1000)</f>
      </c>
    </row>
    <row r="57" spans="2:19" x14ac:dyDescent="0.3">
      <c r="B57" s="44">
        <v>3</v>
      </c>
      <c r="C57" s="45">
        <f>IFERROR(PROPER(TRIM(INDEX(LIQUIDACION!$B$4:$B$400,MATCH(E57,LIQUIDACION!$E$4:$E$400,0)))),"")</f>
      </c>
      <c r="D57" s="47">
        <f>IFERROR(INDEX(LIQUIDACION!$D$4:$D$400,MATCH(E57,LIQUIDACION!$E$4:$E$400,0)),0)</f>
      </c>
      <c r="E57" s="46">
        <f>IFERROR(LARGE(LIQUIDACION!$E$4:$E$400,B57+1),0)</f>
      </c>
      <c r="F57" s="48">
        <f t="shared" si="2"/>
      </c>
      <c r="G57" s="48">
        <f>SUM($F$55:F57)</f>
      </c>
      <c r="J57" s="92" t="s">
        <v>47</v>
      </c>
      <c r="K57" s="92"/>
      <c r="L57" s="92"/>
      <c r="M57" s="91">
        <f>IFERROR(INDEX(LIQUIDACION!$N:$N,IFERROR(MATCH("Total general",LIQUIDACION!$B:$B,0),MATCH("Total Result",LIQUIDACION!$B:$B,0))),0)</f>
      </c>
      <c r="N57" s="92"/>
      <c r="Q57" s="44">
        <v>18</v>
      </c>
      <c r="R57" s="47">
        <f>SUMPRODUCT((Reporte!$K$2:$K$1000&lt;&gt;"")*(YEAR(Reporte!$K$2:$K$1000)=YEAR($D$4))*(MONTH(Reporte!$K$2:$K$1000)=MONTH($D$4))*(DAY(Reporte!$K$2:$K$1000)=18)*Reporte!$H$2:$H$1000)</f>
      </c>
      <c r="S57" s="46">
        <f>SUMPRODUCT((Reporte!$K$2:$K$1000&lt;&gt;"")*(YEAR(Reporte!$K$2:$K$1000)=YEAR($D$4))*(MONTH(Reporte!$K$2:$K$1000)=MONTH($D$4))*(DAY(Reporte!$K$2:$K$1000)=18)*Reporte!$J$2:$J$1000)</f>
      </c>
    </row>
    <row r="58" spans="2:19" x14ac:dyDescent="0.3">
      <c r="B58" s="49">
        <v>4</v>
      </c>
      <c r="C58" s="50">
        <f>IFERROR(PROPER(TRIM(INDEX(LIQUIDACION!$B$4:$B$400,MATCH(E58,LIQUIDACION!$E$4:$E$400,0)))),"")</f>
      </c>
      <c r="D58" s="52">
        <f>IFERROR(INDEX(LIQUIDACION!$D$4:$D$400,MATCH(E58,LIQUIDACION!$E$4:$E$400,0)),0)</f>
      </c>
      <c r="E58" s="51">
        <f>IFERROR(LARGE(LIQUIDACION!$E$4:$E$400,B58+1),0)</f>
      </c>
      <c r="F58" s="53">
        <f t="shared" si="2"/>
      </c>
      <c r="G58" s="53">
        <f>SUM($F$55:F58)</f>
      </c>
      <c r="J58" s="92" t="s">
        <v>12</v>
      </c>
      <c r="K58" s="92"/>
      <c r="L58" s="92"/>
      <c r="M58" s="91">
        <f>IFERROR(INDEX(LIQUIDACION!$R:$R,IFERROR(MATCH("Total general",LIQUIDACION!$B:$B,0),MATCH("Total Result",LIQUIDACION!$B:$B,0))),0)</f>
      </c>
      <c r="N58" s="92"/>
      <c r="Q58" s="44">
        <v>19</v>
      </c>
      <c r="R58" s="47">
        <f>SUMPRODUCT((Reporte!$K$2:$K$1000&lt;&gt;"")*(YEAR(Reporte!$K$2:$K$1000)=YEAR($D$4))*(MONTH(Reporte!$K$2:$K$1000)=MONTH($D$4))*(DAY(Reporte!$K$2:$K$1000)=19)*Reporte!$H$2:$H$1000)</f>
      </c>
      <c r="S58" s="46">
        <f>SUMPRODUCT((Reporte!$K$2:$K$1000&lt;&gt;"")*(YEAR(Reporte!$K$2:$K$1000)=YEAR($D$4))*(MONTH(Reporte!$K$2:$K$1000)=MONTH($D$4))*(DAY(Reporte!$K$2:$K$1000)=19)*Reporte!$J$2:$J$1000)</f>
      </c>
    </row>
    <row r="59" spans="2:19" x14ac:dyDescent="0.3">
      <c r="B59" s="44">
        <v>5</v>
      </c>
      <c r="C59" s="45">
        <f>IFERROR(PROPER(TRIM(INDEX(LIQUIDACION!$B$4:$B$400,MATCH(E59,LIQUIDACION!$E$4:$E$400,0)))),"")</f>
      </c>
      <c r="D59" s="47">
        <f>IFERROR(INDEX(LIQUIDACION!$D$4:$D$400,MATCH(E59,LIQUIDACION!$E$4:$E$400,0)),0)</f>
      </c>
      <c r="E59" s="46">
        <f>IFERROR(LARGE(LIQUIDACION!$E$4:$E$400,B59+1),0)</f>
      </c>
      <c r="F59" s="48">
        <f t="shared" si="2"/>
      </c>
      <c r="G59" s="48">
        <f>SUM($F$55:F59)</f>
      </c>
      <c r="J59" s="90" t="s">
        <v>48</v>
      </c>
      <c r="K59" s="90"/>
      <c r="L59" s="90"/>
      <c r="M59" s="89">
        <f>IFERROR(INDEX(LIQUIDACION!$S:$S,IFERROR(MATCH("Total general",LIQUIDACION!$B:$B,0),MATCH("Total Result",LIQUIDACION!$B:$B,0))),0)</f>
      </c>
      <c r="N59" s="90"/>
      <c r="Q59" s="44">
        <v>20</v>
      </c>
      <c r="R59" s="47">
        <f>SUMPRODUCT((Reporte!$K$2:$K$1000&lt;&gt;"")*(YEAR(Reporte!$K$2:$K$1000)=YEAR($D$4))*(MONTH(Reporte!$K$2:$K$1000)=MONTH($D$4))*(DAY(Reporte!$K$2:$K$1000)=20)*Reporte!$H$2:$H$1000)</f>
      </c>
      <c r="S59" s="46">
        <f>SUMPRODUCT((Reporte!$K$2:$K$1000&lt;&gt;"")*(YEAR(Reporte!$K$2:$K$1000)=YEAR($D$4))*(MONTH(Reporte!$K$2:$K$1000)=MONTH($D$4))*(DAY(Reporte!$K$2:$K$1000)=20)*Reporte!$J$2:$J$1000)</f>
      </c>
    </row>
    <row r="60" spans="2:19" x14ac:dyDescent="0.3">
      <c r="B60" s="49">
        <v>6</v>
      </c>
      <c r="C60" s="50">
        <f>IFERROR(PROPER(TRIM(INDEX(LIQUIDACION!$B$4:$B$400,MATCH(E60,LIQUIDACION!$E$4:$E$400,0)))),"")</f>
      </c>
      <c r="D60" s="52">
        <f>IFERROR(INDEX(LIQUIDACION!$D$4:$D$400,MATCH(E60,LIQUIDACION!$E$4:$E$400,0)),0)</f>
      </c>
      <c r="E60" s="51">
        <f>IFERROR(LARGE(LIQUIDACION!$E$4:$E$400,B60+1),0)</f>
      </c>
      <c r="F60" s="53">
        <f t="shared" si="2"/>
      </c>
      <c r="G60" s="53">
        <f>SUM($F$55:F60)</f>
      </c>
      <c r="J60" s="92" t="s">
        <v>10</v>
      </c>
      <c r="K60" s="92"/>
      <c r="L60" s="92"/>
      <c r="M60" s="91">
        <f>IFERROR(INDEX(LIQUIDACION!$U:$U,IFERROR(MATCH("Total general",LIQUIDACION!$B:$B,0),MATCH("Total Result",LIQUIDACION!$B:$B,0))),0)</f>
      </c>
      <c r="N60" s="92"/>
      <c r="Q60" s="44">
        <v>21</v>
      </c>
      <c r="R60" s="47">
        <f>SUMPRODUCT((Reporte!$K$2:$K$1000&lt;&gt;"")*(YEAR(Reporte!$K$2:$K$1000)=YEAR($D$4))*(MONTH(Reporte!$K$2:$K$1000)=MONTH($D$4))*(DAY(Reporte!$K$2:$K$1000)=21)*Reporte!$H$2:$H$1000)</f>
      </c>
      <c r="S60" s="46">
        <f>SUMPRODUCT((Reporte!$K$2:$K$1000&lt;&gt;"")*(YEAR(Reporte!$K$2:$K$1000)=YEAR($D$4))*(MONTH(Reporte!$K$2:$K$1000)=MONTH($D$4))*(DAY(Reporte!$K$2:$K$1000)=21)*Reporte!$J$2:$J$1000)</f>
      </c>
    </row>
    <row r="61" spans="2:19" x14ac:dyDescent="0.3">
      <c r="B61" s="44">
        <v>7</v>
      </c>
      <c r="C61" s="45">
        <f>IFERROR(PROPER(TRIM(INDEX(LIQUIDACION!$B$4:$B$400,MATCH(E61,LIQUIDACION!$E$4:$E$400,0)))),"")</f>
      </c>
      <c r="D61" s="47">
        <f>IFERROR(INDEX(LIQUIDACION!$D$4:$D$400,MATCH(E61,LIQUIDACION!$E$4:$E$400,0)),0)</f>
      </c>
      <c r="E61" s="46">
        <f>IFERROR(LARGE(LIQUIDACION!$E$4:$E$400,B61+1),0)</f>
      </c>
      <c r="F61" s="48">
        <f t="shared" si="2"/>
      </c>
      <c r="G61" s="48">
        <f>SUM($F$55:F61)</f>
      </c>
      <c r="J61" s="90" t="s">
        <v>11</v>
      </c>
      <c r="K61" s="90"/>
      <c r="L61" s="90"/>
      <c r="M61" s="89">
        <f>IFERROR(INDEX(LIQUIDACION!$W:$W,IFERROR(MATCH("Total general",LIQUIDACION!$B:$B,0),MATCH("Total Result",LIQUIDACION!$B:$B,0))),0)</f>
      </c>
      <c r="N61" s="90"/>
      <c r="Q61" s="44">
        <v>22</v>
      </c>
      <c r="R61" s="47">
        <f>SUMPRODUCT((Reporte!$K$2:$K$1000&lt;&gt;"")*(YEAR(Reporte!$K$2:$K$1000)=YEAR($D$4))*(MONTH(Reporte!$K$2:$K$1000)=MONTH($D$4))*(DAY(Reporte!$K$2:$K$1000)=22)*Reporte!$H$2:$H$1000)</f>
      </c>
      <c r="S61" s="46">
        <f>SUMPRODUCT((Reporte!$K$2:$K$1000&lt;&gt;"")*(YEAR(Reporte!$K$2:$K$1000)=YEAR($D$4))*(MONTH(Reporte!$K$2:$K$1000)=MONTH($D$4))*(DAY(Reporte!$K$2:$K$1000)=22)*Reporte!$J$2:$J$1000)</f>
      </c>
    </row>
    <row r="62" spans="2:19" x14ac:dyDescent="0.3">
      <c r="B62" s="49">
        <v>8</v>
      </c>
      <c r="C62" s="50">
        <f>IFERROR(PROPER(TRIM(INDEX(LIQUIDACION!$B$4:$B$400,MATCH(E62,LIQUIDACION!$E$4:$E$400,0)))),"")</f>
      </c>
      <c r="D62" s="52">
        <f>IFERROR(INDEX(LIQUIDACION!$D$4:$D$400,MATCH(E62,LIQUIDACION!$E$4:$E$400,0)),0)</f>
      </c>
      <c r="E62" s="51">
        <f>IFERROR(LARGE(LIQUIDACION!$E$4:$E$400,B62+1),0)</f>
      </c>
      <c r="F62" s="53">
        <f t="shared" si="2"/>
      </c>
      <c r="G62" s="53">
        <f>SUM($F$55:F62)</f>
      </c>
      <c r="J62" s="90" t="s">
        <v>49</v>
      </c>
      <c r="K62" s="90"/>
      <c r="L62" s="90"/>
      <c r="M62" s="89">
        <f>M61-M55</f>
      </c>
      <c r="N62" s="90"/>
      <c r="Q62" s="44">
        <v>23</v>
      </c>
      <c r="R62" s="47">
        <f>SUMPRODUCT((Reporte!$K$2:$K$1000&lt;&gt;"")*(YEAR(Reporte!$K$2:$K$1000)=YEAR($D$4))*(MONTH(Reporte!$K$2:$K$1000)=MONTH($D$4))*(DAY(Reporte!$K$2:$K$1000)=23)*Reporte!$H$2:$H$1000)</f>
      </c>
      <c r="S62" s="46">
        <f>SUMPRODUCT((Reporte!$K$2:$K$1000&lt;&gt;"")*(YEAR(Reporte!$K$2:$K$1000)=YEAR($D$4))*(MONTH(Reporte!$K$2:$K$1000)=MONTH($D$4))*(DAY(Reporte!$K$2:$K$1000)=23)*Reporte!$J$2:$J$1000)</f>
      </c>
    </row>
    <row r="63" spans="2:19" ht="18" customHeight="1" x14ac:dyDescent="0.3">
      <c r="B63" s="44">
        <v>9</v>
      </c>
      <c r="C63" s="45">
        <f>IFERROR(PROPER(TRIM(INDEX(LIQUIDACION!$B$4:$B$400,MATCH(E63,LIQUIDACION!$E$4:$E$400,0)))),"")</f>
      </c>
      <c r="D63" s="47">
        <f>IFERROR(INDEX(LIQUIDACION!$D$4:$D$400,MATCH(E63,LIQUIDACION!$E$4:$E$400,0)),0)</f>
      </c>
      <c r="E63" s="46">
        <f>IFERROR(LARGE(LIQUIDACION!$E$4:$E$400,B63+1),0)</f>
      </c>
      <c r="F63" s="48">
        <f t="shared" si="2"/>
      </c>
      <c r="G63" s="48">
        <f>SUM($F$55:F63)</f>
      </c>
      <c r="J63" s="109">
        <f>"La diferencia equivale al SAC proporcional neto de aportes ("&amp;TEXT(M58*0.81,"$ #,##0")&amp;"). Sin SAC, el neto liquidado coincide con el pactado."</f>
      </c>
      <c r="K63" s="98"/>
      <c r="L63" s="98"/>
      <c r="M63" s="98"/>
      <c r="N63" s="98"/>
      <c r="Q63" s="44">
        <v>24</v>
      </c>
      <c r="R63" s="47">
        <f>SUMPRODUCT((Reporte!$K$2:$K$1000&lt;&gt;"")*(YEAR(Reporte!$K$2:$K$1000)=YEAR($D$4))*(MONTH(Reporte!$K$2:$K$1000)=MONTH($D$4))*(DAY(Reporte!$K$2:$K$1000)=24)*Reporte!$H$2:$H$1000)</f>
      </c>
      <c r="S63" s="46">
        <f>SUMPRODUCT((Reporte!$K$2:$K$1000&lt;&gt;"")*(YEAR(Reporte!$K$2:$K$1000)=YEAR($D$4))*(MONTH(Reporte!$K$2:$K$1000)=MONTH($D$4))*(DAY(Reporte!$K$2:$K$1000)=24)*Reporte!$J$2:$J$1000)</f>
      </c>
    </row>
    <row r="64" spans="2:19" x14ac:dyDescent="0.3">
      <c r="B64" s="49">
        <v>10</v>
      </c>
      <c r="C64" s="50">
        <f>IFERROR(PROPER(TRIM(INDEX(LIQUIDACION!$B$4:$B$400,MATCH(E64,LIQUIDACION!$E$4:$E$400,0)))),"")</f>
      </c>
      <c r="D64" s="52">
        <f>IFERROR(INDEX(LIQUIDACION!$D$4:$D$400,MATCH(E64,LIQUIDACION!$E$4:$E$400,0)),0)</f>
      </c>
      <c r="E64" s="51">
        <f>IFERROR(LARGE(LIQUIDACION!$E$4:$E$400,B64+1),0)</f>
      </c>
      <c r="F64" s="53">
        <f t="shared" si="2"/>
      </c>
      <c r="G64" s="53">
        <f>SUM($F$55:F64)</f>
      </c>
      <c r="J64" s="98"/>
      <c r="K64" s="98"/>
      <c r="L64" s="98"/>
      <c r="M64" s="98"/>
      <c r="N64" s="98"/>
      <c r="Q64" s="44">
        <v>25</v>
      </c>
      <c r="R64" s="47">
        <f>SUMPRODUCT((Reporte!$K$2:$K$1000&lt;&gt;"")*(YEAR(Reporte!$K$2:$K$1000)=YEAR($D$4))*(MONTH(Reporte!$K$2:$K$1000)=MONTH($D$4))*(DAY(Reporte!$K$2:$K$1000)=25)*Reporte!$H$2:$H$1000)</f>
      </c>
      <c r="S64" s="46">
        <f>SUMPRODUCT((Reporte!$K$2:$K$1000&lt;&gt;"")*(YEAR(Reporte!$K$2:$K$1000)=YEAR($D$4))*(MONTH(Reporte!$K$2:$K$1000)=MONTH($D$4))*(DAY(Reporte!$K$2:$K$1000)=25)*Reporte!$J$2:$J$1000)</f>
      </c>
    </row>
    <row r="65" spans="2:19" x14ac:dyDescent="0.3">
      <c r="C65" s="38" t="s">
        <v>50</v>
      </c>
      <c r="Q65" s="44">
        <v>26</v>
      </c>
      <c r="R65" s="47">
        <f>SUMPRODUCT((Reporte!$K$2:$K$1000&lt;&gt;"")*(YEAR(Reporte!$K$2:$K$1000)=YEAR($D$4))*(MONTH(Reporte!$K$2:$K$1000)=MONTH($D$4))*(DAY(Reporte!$K$2:$K$1000)=26)*Reporte!$H$2:$H$1000)</f>
      </c>
      <c r="S65" s="46">
        <f>SUMPRODUCT((Reporte!$K$2:$K$1000&lt;&gt;"")*(YEAR(Reporte!$K$2:$K$1000)=YEAR($D$4))*(MONTH(Reporte!$K$2:$K$1000)=MONTH($D$4))*(DAY(Reporte!$K$2:$K$1000)=26)*Reporte!$J$2:$J$1000)</f>
      </c>
    </row>
    <row r="66" spans="2:19" x14ac:dyDescent="0.3">
      <c r="Q66" s="44">
        <v>27</v>
      </c>
      <c r="R66" s="47">
        <f>SUMPRODUCT((Reporte!$K$2:$K$1000&lt;&gt;"")*(YEAR(Reporte!$K$2:$K$1000)=YEAR($D$4))*(MONTH(Reporte!$K$2:$K$1000)=MONTH($D$4))*(DAY(Reporte!$K$2:$K$1000)=27)*Reporte!$H$2:$H$1000)</f>
      </c>
      <c r="S66" s="46">
        <f>SUMPRODUCT((Reporte!$K$2:$K$1000&lt;&gt;"")*(YEAR(Reporte!$K$2:$K$1000)=YEAR($D$4))*(MONTH(Reporte!$K$2:$K$1000)=MONTH($D$4))*(DAY(Reporte!$K$2:$K$1000)=27)*Reporte!$J$2:$J$1000)</f>
      </c>
    </row>
    <row r="67" spans="2:19" x14ac:dyDescent="0.3">
      <c r="Q67" s="44">
        <v>28</v>
      </c>
      <c r="R67" s="47">
        <f>SUMPRODUCT((Reporte!$K$2:$K$1000&lt;&gt;"")*(YEAR(Reporte!$K$2:$K$1000)=YEAR($D$4))*(MONTH(Reporte!$K$2:$K$1000)=MONTH($D$4))*(DAY(Reporte!$K$2:$K$1000)=28)*Reporte!$H$2:$H$1000)</f>
      </c>
      <c r="S67" s="46">
        <f>SUMPRODUCT((Reporte!$K$2:$K$1000&lt;&gt;"")*(YEAR(Reporte!$K$2:$K$1000)=YEAR($D$4))*(MONTH(Reporte!$K$2:$K$1000)=MONTH($D$4))*(DAY(Reporte!$K$2:$K$1000)=28)*Reporte!$J$2:$J$1000)</f>
      </c>
    </row>
    <row r="68" spans="2:19" ht="22.05" customHeight="1" x14ac:dyDescent="0.3">
      <c r="B68" s="93" t="s">
        <v>51</v>
      </c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Q68" s="44">
        <v>29</v>
      </c>
      <c r="R68" s="47">
        <f>SUMPRODUCT((Reporte!$K$2:$K$1000&lt;&gt;"")*(YEAR(Reporte!$K$2:$K$1000)=YEAR($D$4))*(MONTH(Reporte!$K$2:$K$1000)=MONTH($D$4))*(DAY(Reporte!$K$2:$K$1000)=29)*Reporte!$H$2:$H$1000)</f>
      </c>
      <c r="S68" s="46">
        <f>SUMPRODUCT((Reporte!$K$2:$K$1000&lt;&gt;"")*(YEAR(Reporte!$K$2:$K$1000)=YEAR($D$4))*(MONTH(Reporte!$K$2:$K$1000)=MONTH($D$4))*(DAY(Reporte!$K$2:$K$1000)=29)*Reporte!$J$2:$J$1000)</f>
      </c>
    </row>
    <row r="69" spans="2:19" ht="28.05" customHeight="1" x14ac:dyDescent="0.3">
      <c r="C69" s="43" t="s">
        <v>52</v>
      </c>
      <c r="D69" s="43" t="s">
        <v>53</v>
      </c>
      <c r="E69" s="108" t="s">
        <v>54</v>
      </c>
      <c r="F69" s="98"/>
      <c r="G69" s="98"/>
      <c r="H69" s="98"/>
      <c r="I69" s="98"/>
      <c r="J69" s="98"/>
      <c r="K69" s="98"/>
      <c r="L69" s="98"/>
      <c r="M69" s="98"/>
      <c r="N69" s="98"/>
      <c r="Q69" s="44">
        <v>30</v>
      </c>
      <c r="R69" s="47">
        <f>SUMPRODUCT((Reporte!$K$2:$K$1000&lt;&gt;"")*(YEAR(Reporte!$K$2:$K$1000)=YEAR($D$4))*(MONTH(Reporte!$K$2:$K$1000)=MONTH($D$4))*(DAY(Reporte!$K$2:$K$1000)=30)*Reporte!$H$2:$H$1000)</f>
      </c>
      <c r="S69" s="46">
        <f>SUMPRODUCT((Reporte!$K$2:$K$1000&lt;&gt;"")*(YEAR(Reporte!$K$2:$K$1000)=YEAR($D$4))*(MONTH(Reporte!$K$2:$K$1000)=MONTH($D$4))*(DAY(Reporte!$K$2:$K$1000)=30)*Reporte!$J$2:$J$1000)</f>
      </c>
    </row>
    <row r="70" spans="2:19" x14ac:dyDescent="0.3">
      <c r="C70" s="45" t="s">
        <v>55</v>
      </c>
      <c r="D70" s="65">
        <f>COUNTIFS(Reporte!$A$2:$A$1000,"",Reporte!$K$2:$K$1000,"&lt;&gt;")</f>
      </c>
      <c r="E70" s="92">
        <f>IF(D70=0,"✓ OK","⚠ Dar de alta el legajo en Tango antes de liquidar")</f>
      </c>
      <c r="F70" s="105"/>
      <c r="G70" s="105"/>
      <c r="H70" s="105"/>
      <c r="I70" s="105"/>
      <c r="J70" s="105"/>
      <c r="K70" s="105"/>
      <c r="L70" s="105"/>
      <c r="M70" s="105"/>
      <c r="N70" s="105"/>
      <c r="Q70" s="44">
        <v>31</v>
      </c>
      <c r="R70" s="47">
        <f>SUMPRODUCT((Reporte!$K$2:$K$1000&lt;&gt;"")*(YEAR(Reporte!$K$2:$K$1000)=YEAR($D$4))*(MONTH(Reporte!$K$2:$K$1000)=MONTH($D$4))*(DAY(Reporte!$K$2:$K$1000)=31)*Reporte!$H$2:$H$1000)</f>
      </c>
      <c r="S70" s="46">
        <f>SUMPRODUCT((Reporte!$K$2:$K$1000&lt;&gt;"")*(YEAR(Reporte!$K$2:$K$1000)=YEAR($D$4))*(MONTH(Reporte!$K$2:$K$1000)=MONTH($D$4))*(DAY(Reporte!$K$2:$K$1000)=31)*Reporte!$J$2:$J$1000)</f>
      </c>
    </row>
    <row r="71" spans="2:19" x14ac:dyDescent="0.3">
      <c r="C71" s="45" t="s">
        <v>56</v>
      </c>
      <c r="D71" s="65">
        <f>SUMPRODUCT((Reporte!$K$2:$K$1000&lt;&gt;"")*(COUNTIFS(Reporte!$E$2:$E$1000,Reporte!$E$2:$E$1000&amp;"",Reporte!$K$2:$K$1000,Reporte!$K$2:$K$1000)&gt;1))</f>
      </c>
      <c r="E71" s="92">
        <f>IF(D71=0,"✓ OK","⚠ Verificar si es doble turno o carga duplicada")</f>
      </c>
      <c r="F71" s="105"/>
      <c r="G71" s="105"/>
      <c r="H71" s="105"/>
      <c r="I71" s="105"/>
      <c r="J71" s="105"/>
      <c r="K71" s="105"/>
      <c r="L71" s="105"/>
      <c r="M71" s="105"/>
      <c r="N71" s="105"/>
    </row>
    <row r="72" spans="2:19" x14ac:dyDescent="0.3">
      <c r="C72" s="45" t="s">
        <v>57</v>
      </c>
      <c r="D72" s="65">
        <f>COUNTIFS(Reporte!$K$2:$K$1000,"&lt;"&amp;$D$4)+COUNTIFS(Reporte!$L$2:$L$1000,"&gt;"&amp;EOMONTH($D$4,0))</f>
      </c>
      <c r="E72" s="92">
        <f>IF(D72=0,"✓ OK","⚠ Alta anterior o baja posterior al mes: confirmar imputación")</f>
      </c>
      <c r="F72" s="105"/>
      <c r="G72" s="105"/>
      <c r="H72" s="105"/>
      <c r="I72" s="105"/>
      <c r="J72" s="105"/>
      <c r="K72" s="105"/>
      <c r="L72" s="105"/>
      <c r="M72" s="105"/>
      <c r="N72" s="105"/>
    </row>
    <row r="73" spans="2:19" x14ac:dyDescent="0.3">
      <c r="C73" s="45" t="s">
        <v>58</v>
      </c>
      <c r="D73" s="65">
        <f>COUNT(Reporte!$K$2:$K$1000)-COUNTIFS(Reporte!$M$2:$M$1000,"OK",Reporte!$K$2:$K$1000,"&lt;&gt;")</f>
      </c>
      <c r="E73" s="92">
        <f>IF(D73=0,"✓ OK","⚠ Hay registros sin validar en Trello")</f>
      </c>
      <c r="F73" s="105"/>
      <c r="G73" s="105"/>
      <c r="H73" s="105"/>
      <c r="I73" s="105"/>
      <c r="J73" s="105"/>
      <c r="K73" s="105"/>
      <c r="L73" s="105"/>
      <c r="M73" s="105"/>
      <c r="N73" s="105"/>
    </row>
    <row r="74" spans="2:19" x14ac:dyDescent="0.3">
      <c r="C74" s="45" t="s">
        <v>59</v>
      </c>
      <c r="D74" s="65">
        <f>ROUND(IFERROR(INDEX(LIQUIDACION!$E:$E,IFERROR(MATCH("Total general",LIQUIDACION!$B:$B,0),MATCH("Total Result",LIQUIDACION!$B:$B,0))),0)-F7,0)</f>
      </c>
      <c r="E74" s="92">
        <f>IF(D74=0,"✓ Tabla dinámica actualizada","⚠ Actualizar la tabla dinámica de LIQUIDACION")</f>
      </c>
      <c r="F74" s="105"/>
      <c r="G74" s="105"/>
      <c r="H74" s="105"/>
      <c r="I74" s="105"/>
      <c r="J74" s="105"/>
      <c r="K74" s="105"/>
      <c r="L74" s="105"/>
      <c r="M74" s="105"/>
      <c r="N74" s="105"/>
    </row>
    <row r="76" spans="2:19" ht="24" customHeight="1" x14ac:dyDescent="0.3">
      <c r="B76" s="110" t="s">
        <v>60</v>
      </c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</row>
  </sheetData>
  <mergeCells count="50">
    <mergeCell ref="E70:N70"/>
    <mergeCell ref="J10:K10"/>
    <mergeCell ref="J63:N64"/>
    <mergeCell ref="B76:N76"/>
    <mergeCell ref="J6:K6"/>
    <mergeCell ref="J53:N53"/>
    <mergeCell ref="M54:N54"/>
    <mergeCell ref="L9:N9"/>
    <mergeCell ref="M58:N58"/>
    <mergeCell ref="J56:L56"/>
    <mergeCell ref="L6:N6"/>
    <mergeCell ref="E73:N73"/>
    <mergeCell ref="E74:N74"/>
    <mergeCell ref="F6:G6"/>
    <mergeCell ref="J55:L55"/>
    <mergeCell ref="B68:N68"/>
    <mergeCell ref="E72:N72"/>
    <mergeCell ref="F7:G7"/>
    <mergeCell ref="J9:K9"/>
    <mergeCell ref="E71:N71"/>
    <mergeCell ref="D7:E7"/>
    <mergeCell ref="J62:L62"/>
    <mergeCell ref="J58:L58"/>
    <mergeCell ref="J7:K7"/>
    <mergeCell ref="B12:H12"/>
    <mergeCell ref="J61:L61"/>
    <mergeCell ref="D9:E9"/>
    <mergeCell ref="E69:N69"/>
    <mergeCell ref="M62:N62"/>
    <mergeCell ref="J54:L54"/>
    <mergeCell ref="M60:N60"/>
    <mergeCell ref="L10:N10"/>
    <mergeCell ref="B2:N2"/>
    <mergeCell ref="M61:N61"/>
    <mergeCell ref="F9:G9"/>
    <mergeCell ref="L7:N7"/>
    <mergeCell ref="J57:L57"/>
    <mergeCell ref="M57:N57"/>
    <mergeCell ref="B53:H53"/>
    <mergeCell ref="J59:L59"/>
    <mergeCell ref="J60:L60"/>
    <mergeCell ref="B38:N38"/>
    <mergeCell ref="M56:N56"/>
    <mergeCell ref="B3:N3"/>
    <mergeCell ref="D6:E6"/>
    <mergeCell ref="M59:N59"/>
    <mergeCell ref="M55:N55"/>
    <mergeCell ref="B26:H26"/>
    <mergeCell ref="D10:E10"/>
    <mergeCell ref="F10:G10"/>
  </mergeCells>
  <conditionalFormatting sqref="E70:E74">
    <cfRule type="expression" dxfId="27" priority="1">
      <formula>LEFT($E70,1)="✓"</formula>
    </cfRule>
    <cfRule type="expression" dxfId="26" priority="2">
      <formula>LEFT($E70,1)&lt;&gt;"✓"</formula>
    </cfRule>
  </conditionalFormatting>
  <printOptions horizontalCentered="1"/>
  <pageMargins left="0.4" right="0.4" top="1" bottom="1" header="0.5" footer="0.5"/>
  <pageSetup paperSize="9" fitToHeight="0" orientation="portrait"/>
  <headerFooter>
    <oddFooter>&amp;CResumen Ejecutivo Jornaleros · 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opLeftCell="A162" workbookViewId="0">
      <selection activeCell="A1" sqref="A1"/>
    </sheetView>
  </sheetViews>
  <sheetFormatPr baseColWidth="10" defaultRowHeight="15.6" x14ac:dyDescent="0.3"/>
  <cols>
    <col min="1" max="1" width="8" style="30" customWidth="1"/>
    <col min="2" max="2" width="16" style="30" hidden="1" customWidth="1"/>
    <col min="3" max="3" width="18.8984375" style="30" hidden="1" customWidth="1"/>
    <col min="4" max="4" width="8.59765625" style="30" hidden="1" customWidth="1"/>
    <col min="5" max="5" width="24.19921875" style="30" customWidth="1"/>
    <col min="6" max="6" width="8.59765625" style="30" customWidth="1"/>
    <col min="7" max="7" width="15.59765625" style="30" customWidth="1"/>
    <col min="8" max="8" width="7.8984375" style="30" customWidth="1"/>
    <col min="9" max="9" width="14.296875" style="30" customWidth="1"/>
    <col min="10" max="10" width="16.5" style="30" bestFit="1" customWidth="1"/>
    <col min="11" max="11" width="12.3984375" style="30" customWidth="1"/>
    <col min="12" max="12" width="12.09765625" style="30" customWidth="1"/>
    <col min="13" max="13" width="17.796875" style="30" customWidth="1"/>
    <col min="14" max="14" width="33.296875" style="30" bestFit="1" customWidth="1"/>
  </cols>
  <sheetData>
    <row r="1" spans="1:15" x14ac:dyDescent="0.3">
      <c r="A1" s="1" t="s">
        <v>61</v>
      </c>
      <c r="B1" s="1" t="s">
        <v>62</v>
      </c>
      <c r="C1" s="1" t="s">
        <v>63</v>
      </c>
      <c r="D1" s="2" t="s">
        <v>64</v>
      </c>
      <c r="E1" s="2" t="s">
        <v>64</v>
      </c>
      <c r="F1" s="2" t="s">
        <v>65</v>
      </c>
      <c r="G1" s="1" t="s">
        <v>66</v>
      </c>
      <c r="H1" s="3" t="s">
        <v>67</v>
      </c>
      <c r="I1" s="2" t="s">
        <v>68</v>
      </c>
      <c r="J1" s="2" t="s">
        <v>69</v>
      </c>
      <c r="K1" s="1" t="s">
        <v>70</v>
      </c>
      <c r="L1" s="1" t="s">
        <v>71</v>
      </c>
      <c r="M1" s="1" t="s">
        <v>72</v>
      </c>
    </row>
  </sheetData>
  <autoFilter ref="A1:M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"/>
  <sheetViews>
    <sheetView topLeftCell="A194" workbookViewId="0">
      <selection activeCell="A1" sqref="A1"/>
    </sheetView>
  </sheetViews>
  <sheetFormatPr baseColWidth="10" defaultRowHeight="15.6" outlineLevelRow="2" x14ac:dyDescent="0.3"/>
  <cols>
    <col min="1" max="1" width="8" style="30" customWidth="1"/>
    <col min="2" max="2" width="16" style="30" hidden="1" customWidth="1"/>
    <col min="3" max="3" width="18.8984375" style="30" hidden="1" customWidth="1"/>
    <col min="4" max="4" width="8.59765625" style="30" hidden="1" customWidth="1"/>
    <col min="5" max="5" width="24.19921875" style="30" customWidth="1"/>
    <col min="6" max="6" width="8.59765625" style="30" customWidth="1"/>
    <col min="7" max="7" width="15.59765625" style="30" customWidth="1"/>
    <col min="8" max="8" width="7.8984375" style="30" customWidth="1"/>
    <col min="9" max="9" width="15.796875" style="30" customWidth="1"/>
    <col min="10" max="10" width="16.5" style="30" bestFit="1" customWidth="1"/>
    <col min="11" max="11" width="12.3984375" style="30" customWidth="1"/>
    <col min="12" max="12" width="12.09765625" style="30" customWidth="1"/>
    <col min="14" max="14" width="33.296875" style="30" bestFit="1" customWidth="1"/>
    <col min="15" max="55" width="11.19921875" style="30" customWidth="1"/>
  </cols>
  <sheetData>
    <row r="1" spans="1:55" x14ac:dyDescent="0.3">
      <c r="A1" s="1" t="s">
        <v>61</v>
      </c>
      <c r="B1" s="1" t="s">
        <v>62</v>
      </c>
      <c r="C1" s="1" t="s">
        <v>63</v>
      </c>
      <c r="D1" s="2" t="s">
        <v>64</v>
      </c>
      <c r="E1" s="2" t="s">
        <v>64</v>
      </c>
      <c r="F1" s="2" t="s">
        <v>65</v>
      </c>
      <c r="G1" s="1" t="s">
        <v>66</v>
      </c>
      <c r="H1" s="3" t="s">
        <v>67</v>
      </c>
      <c r="I1" s="2" t="s">
        <v>68</v>
      </c>
      <c r="J1" s="2" t="s">
        <v>69</v>
      </c>
      <c r="K1" s="1" t="s">
        <v>70</v>
      </c>
      <c r="L1" s="1" t="s">
        <v>71</v>
      </c>
    </row>
    <row r="2" spans="1:55" s="4" customFormat="1" x14ac:dyDescent="0.3">
      <c r="A2" s="5"/>
      <c r="E2" s="7" t="inlineStr">
        <is>
          <t xml:space="preserve">Total general</t>
        </is>
      </c>
      <c r="F2" s="5"/>
      <c r="G2" s="7"/>
      <c r="H2" s="5">
        <f>SUBTOTAL(9,H2:H1)</f>
      </c>
      <c r="I2" s="68">
        <f>SUBTOTAL(9,I2:I1)</f>
      </c>
      <c r="J2" s="68">
        <f>SUBTOTAL(9,J2:J1)</f>
      </c>
      <c r="K2" s="8"/>
      <c r="L2" s="8"/>
      <c r="M2" s="5"/>
      <c r="N2" s="5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</row>
  </sheetData>
  <autoFilter ref="A1:L1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29"/>
  <sheetViews>
    <sheetView workbookViewId="0">
      <selection activeCell="A1" sqref="A1"/>
    </sheetView>
  </sheetViews>
  <sheetFormatPr baseColWidth="10" defaultRowHeight="15.6" x14ac:dyDescent="0.3"/>
  <cols>
    <col min="1" max="1" width="8.69921875" style="30" bestFit="1" customWidth="1"/>
    <col min="2" max="2" width="29.69921875" style="30" customWidth="1"/>
    <col min="3" max="3" width="12.09765625" style="30" customWidth="1"/>
    <col min="4" max="4" width="12.59765625" style="30" customWidth="1"/>
    <col min="5" max="5" width="14.5" style="30" customWidth="1"/>
    <col min="6" max="6" width="12.19921875" style="30" bestFit="1" customWidth="1"/>
    <col min="7" max="7" width="28.09765625" style="30" bestFit="1" customWidth="1"/>
    <col min="8" max="8" width="12.59765625" style="30" customWidth="1"/>
    <col min="11" max="11" width="1.5" style="15" customWidth="1"/>
    <col min="13" max="13" width="12.59765625" style="30" customWidth="1"/>
    <col min="19" max="19" width="12.69921875" style="30" bestFit="1" customWidth="1"/>
    <col min="22" max="22" width="0" style="30" hidden="1"/>
    <col min="23" max="23" width="12.296875" style="30" bestFit="1" customWidth="1"/>
    <col min="25" max="25" width="12.296875" style="30" bestFit="1" customWidth="1"/>
    <col min="26" max="26" width="13.59765625" style="30" customWidth="1"/>
    <col min="27" max="27" width="15" style="30" customWidth="1"/>
    <col min="29" max="29" width="12.3984375" style="30" customWidth="1"/>
    <col min="31" max="31" width="13.19921875" style="30" customWidth="1"/>
    <col min="32" max="32" width="12.59765625" style="30" customWidth="1"/>
    <col min="35" max="38" width="16" style="30" customWidth="1"/>
  </cols>
  <sheetData>
    <row r="1" spans="1:38" x14ac:dyDescent="0.3">
      <c r="B1" s="9" t="inlineStr">
        <is>
          <t>TOTAL JORNALEROS SEPTIEMBRE</t>
        </is>
      </c>
      <c r="C1" s="10">
        <f>SUMPRODUCT((B5:B4&lt;&gt;"")/COUNTIF(B5:B4,B5:B4&amp;""))</f>
      </c>
      <c r="K1" s="14"/>
    </row>
    <row r="2" spans="1:38" ht="16.2" customHeight="1" thickBot="1" x14ac:dyDescent="0.35">
      <c r="H2" s="114" t="s">
        <v>73</v>
      </c>
      <c r="I2" s="115"/>
      <c r="J2" s="115"/>
      <c r="L2" s="11"/>
      <c r="M2" s="11"/>
      <c r="N2" s="11"/>
      <c r="O2" s="69">
        <v>11236.46214999571</v>
      </c>
      <c r="P2" s="12" t="s">
        <v>74</v>
      </c>
      <c r="Q2" s="12" t="s">
        <v>75</v>
      </c>
      <c r="R2" s="11"/>
      <c r="S2" s="11"/>
      <c r="T2" s="11"/>
      <c r="U2" s="11"/>
      <c r="V2" s="11"/>
      <c r="W2" s="11"/>
      <c r="X2" s="11"/>
      <c r="Y2" s="11"/>
      <c r="Z2" s="70"/>
      <c r="AA2" s="11"/>
      <c r="AB2" s="11"/>
      <c r="AI2" s="33" t="s">
        <v>76</v>
      </c>
    </row>
    <row r="3" spans="1:38" ht="43.8" customHeight="1" thickBot="1" x14ac:dyDescent="0.35">
      <c r="A3" s="20" t="s">
        <v>77</v>
      </c>
      <c r="B3"/>
      <c r="C3" s="87" t="s">
        <v>78</v>
      </c>
      <c r="D3"/>
      <c r="E3"/>
      <c r="F3" s="21" t="s">
        <v>79</v>
      </c>
      <c r="G3" s="22" t="s">
        <v>80</v>
      </c>
      <c r="H3" s="71" t="s">
        <v>81</v>
      </c>
      <c r="I3" s="72" t="s">
        <v>82</v>
      </c>
      <c r="J3" s="72" t="s">
        <v>83</v>
      </c>
      <c r="K3" s="13"/>
      <c r="L3" s="73" t="s">
        <v>18</v>
      </c>
      <c r="M3" s="73" t="s">
        <v>84</v>
      </c>
      <c r="N3" s="73" t="s">
        <v>85</v>
      </c>
      <c r="O3" s="73" t="s">
        <v>86</v>
      </c>
      <c r="P3" s="74" t="s">
        <v>87</v>
      </c>
      <c r="Q3" s="74" t="s">
        <v>88</v>
      </c>
      <c r="R3" s="75" t="s">
        <v>89</v>
      </c>
      <c r="S3" s="75" t="s">
        <v>90</v>
      </c>
      <c r="T3" s="76" t="s">
        <v>91</v>
      </c>
      <c r="U3" s="75" t="s">
        <v>92</v>
      </c>
      <c r="V3" s="75" t="s">
        <v>93</v>
      </c>
      <c r="W3" s="75" t="s">
        <v>94</v>
      </c>
      <c r="X3" s="75" t="s">
        <v>95</v>
      </c>
      <c r="Y3" s="75" t="s">
        <v>96</v>
      </c>
      <c r="Z3" s="77" t="s">
        <v>97</v>
      </c>
      <c r="AA3" s="78" t="s">
        <v>52</v>
      </c>
      <c r="AB3" s="79"/>
      <c r="AC3" s="111" t="s">
        <v>98</v>
      </c>
      <c r="AD3" s="112"/>
      <c r="AE3" s="112"/>
      <c r="AF3" s="113"/>
      <c r="AI3" s="71" t="s">
        <v>79</v>
      </c>
      <c r="AJ3" s="71" t="s">
        <v>81</v>
      </c>
      <c r="AK3" s="71" t="s">
        <v>82</v>
      </c>
      <c r="AL3" s="71" t="s">
        <v>83</v>
      </c>
    </row>
    <row r="4" spans="1:38" ht="16.2" thickBot="1" x14ac:dyDescent="0.35">
      <c r="A4" s="80">
        <f>IF(OR($B4="",OR($B4="Total general",$B4="Total Result"),NOT(ISNUMBER($D4))),"",IFERROR(INDEX(Reporte!$A$2:$A$2,MATCH($B4,Reporte!$E$2:$E$2,0))&amp;"",""))</f>
      </c>
      <c r="B4" s="119" t="inlineStr">
        <is>
          <t xml:space="preserve">APELLIDO &amp; NOMBRE</t>
        </is>
      </c>
      <c r="C4" s="120" t="inlineStr">
        <is>
          <t xml:space="preserve">Q PERSONAS</t>
        </is>
      </c>
      <c r="D4" s="121" t="inlineStr">
        <is>
          <t xml:space="preserve">Q JORNADAS</t>
        </is>
      </c>
      <c r="E4" s="122" t="inlineStr">
        <is>
          <t xml:space="preserve">NETO PACTADO</t>
        </is>
      </c>
      <c r="F4" s="18">
        <f>IF(OR($B4="",OR($B4="Total general",$B4="Total Result"),NOT(ISNUMBER($D4))),"",IFERROR(VLOOKUP($B4,Reporte!$E$2:$F$2,2,FALSE),""))</f>
      </c>
      <c r="G4" s="19">
        <f>IF(OR($B4="",OR($B4="Total general",$B4="Total Result"),NOT(ISNUMBER($D4))),"",IFERROR(VLOOKUP($B4,Reporte!$E$2:$G$2,3,FALSE),""))</f>
      </c>
      <c r="H4" s="80">
        <f>IF(OR($B4="",OR($B4="Total general",$B4="Total Result"),NOT(ISNUMBER($D4))),"",IFERROR(VLOOKUP($F4,$AI$4:$AL$4,2,FALSE),0))</f>
      </c>
      <c r="I4" s="80">
        <f>IF(OR($B4="",OR($B4="Total general",$B4="Total Result"),NOT(ISNUMBER($D4))),"",IFERROR(VLOOKUP($F4,$AI$4:$AL$4,3,FALSE),0))</f>
      </c>
      <c r="J4" s="80">
        <f>IF(OR($B4="",OR($B4="Total general",$B4="Total Result"),NOT(ISNUMBER($D4))),"",IFERROR(VLOOKUP($F4,$AI$4:$AL$4,4,FALSE),0))</f>
      </c>
      <c r="K4" s="17"/>
      <c r="L4" s="16">
        <f>IF(OR($B4="",NOT(ISNUMBER($D4))),"",IF(OR($B4="Total general",$B4="Total Result"),SUM(L$4:L3),+D4))</f>
      </c>
      <c r="M4" s="82">
        <f>IF(OR($B4="",NOT(ISNUMBER($D4))),"",IF(OR($B4="Total general",$B4="Total Result"),SUM(M$4:M3),+L4*J4))</f>
      </c>
      <c r="N4" s="82">
        <f>IF(OR($B4="",NOT(ISNUMBER($D4))),"",IF(OR($B4="Total general",$B4="Total Result"),SUM(N$4:N3),+M4*0.1))</f>
      </c>
      <c r="O4" s="82"/>
      <c r="P4" s="82"/>
      <c r="Q4" s="82"/>
      <c r="R4" s="82">
        <f>IF(OR($B4="",NOT(ISNUMBER($D4))),"",IF(OR($B4="Total general",$B4="Total Result"),SUM(R$4:R3),SUM(M4:Q4)/12))</f>
      </c>
      <c r="S4" s="83">
        <f>IF(OR($B4="",NOT(ISNUMBER($D4))),"",IF(OR($B4="Total general",$B4="Total Result"),SUM(S$4:S3),SUM(M4:R4)))</f>
      </c>
      <c r="T4" s="82"/>
      <c r="U4" s="82">
        <f>IF(OR($B4="",NOT(ISNUMBER($D4))),"",IF(OR($B4="Total general",$B4="Total Result"),SUM(U$4:U3),(S4)*19%*-1))</f>
      </c>
      <c r="V4" s="82"/>
      <c r="W4" s="83">
        <f>IF(OR($B4="",NOT(ISNUMBER($D4))),"",IF(OR($B4="Total general",$B4="Total Result"),SUM(W$4:W3),+S4+U4))</f>
      </c>
      <c r="X4" s="83"/>
      <c r="Y4" s="83">
        <f>IF(OR($B4="",NOT(ISNUMBER($D4))),"",IF(OR($B4="Total general",$B4="Total Result"),SUM(Y$4:Y3),+W4-X4))</f>
      </c>
      <c r="Z4" s="84">
        <f>IF(OR($B4="",NOT(ISNUMBER($D4))),"",IF(OR($B4="Total general",$B4="Total Result"),SUM(Z$4:Z3),+E4))</f>
      </c>
      <c r="AA4" s="85">
        <f>IF(OR($B4="",NOT(ISNUMBER($D4))),"",IF(OR($B4="Total general",$B4="Total Result"),SUM(AA$4:AA3),+Z4-W4))</f>
      </c>
      <c r="AB4" s="86"/>
      <c r="AC4" s="82">
        <f>IF(OR($B4="",NOT(ISNUMBER($D4))),"",IF(OR($B4="Total general",$B4="Total Result"),SUM(AC$4:AC3),(+M4+N4)))</f>
      </c>
      <c r="AD4" s="82">
        <f>IF(OR($B4="",NOT(ISNUMBER($D4))),"",IF(OR($B4="Total general",$B4="Total Result"),SUM(AD$4:AD3),+AC4*19%))</f>
      </c>
      <c r="AE4" s="82">
        <f>IF(OR($B4="",NOT(ISNUMBER($D4))),"",IF(OR($B4="Total general",$B4="Total Result"),SUM(AE$4:AE3),+AC4-AD4))</f>
      </c>
      <c r="AF4" s="82">
        <f>IF(OR($B4="",NOT(ISNUMBER($D4))),"",IF(OR($B4="Total general",$B4="Total Result"),SUM(AF$4:AF3),+AE4-Z4))</f>
      </c>
    </row>
    <row r="5" spans="1:38" x14ac:dyDescent="0.3">
      <c r="A5" s="80">
        <f>IF(OR($B5="",OR($B5="Total general",$B5="Total Result"),NOT(ISNUMBER($D5))),"",IFERROR(INDEX(Reporte!$A$2:$A$2,MATCH($B5,Reporte!$E$2:$E$2,0))&amp;"",""))</f>
      </c>
      <c r="B5" s="35" t="inlineStr">
        <is>
          <t xml:space="preserve">Total general</t>
        </is>
      </c>
      <c r="C5" s="88">
        <v>0</v>
      </c>
      <c r="D5" s="88">
        <v>0</v>
      </c>
      <c r="E5" s="118">
        <v>0</v>
      </c>
      <c r="F5" s="18">
        <f>IF(OR($B5="",OR($B5="Total general",$B5="Total Result"),NOT(ISNUMBER($D5))),"",IFERROR(VLOOKUP($B5,Reporte!$E$2:$F$2,2,FALSE),""))</f>
      </c>
      <c r="G5" s="19">
        <f>IF(OR($B5="",OR($B5="Total general",$B5="Total Result"),NOT(ISNUMBER($D5))),"",IFERROR(VLOOKUP($B5,Reporte!$E$2:$G$2,3,FALSE),""))</f>
      </c>
      <c r="H5" s="80">
        <f>IF(OR($B5="",OR($B5="Total general",$B5="Total Result"),NOT(ISNUMBER($D5))),"",IFERROR(VLOOKUP($F5,$AI$4:$AL$4,2,FALSE),0))</f>
      </c>
      <c r="I5" s="80">
        <f>IF(OR($B5="",OR($B5="Total general",$B5="Total Result"),NOT(ISNUMBER($D5))),"",IFERROR(VLOOKUP($F5,$AI$4:$AL$4,3,FALSE),0))</f>
      </c>
      <c r="J5" s="80">
        <f>IF(OR($B5="",OR($B5="Total general",$B5="Total Result"),NOT(ISNUMBER($D5))),"",IFERROR(VLOOKUP($F5,$AI$4:$AL$4,4,FALSE),0))</f>
      </c>
      <c r="K5" s="17"/>
      <c r="L5" s="16">
        <f>IF(OR($B5="",NOT(ISNUMBER($D5))),"",IF(OR($B5="Total general",$B5="Total Result"),SUM(L$4:L4),+D5))</f>
      </c>
      <c r="M5" s="82">
        <f>IF(OR($B5="",NOT(ISNUMBER($D5))),"",IF(OR($B5="Total general",$B5="Total Result"),SUM(M$4:M4),+L5*J5))</f>
      </c>
      <c r="N5" s="82">
        <f>IF(OR($B5="",NOT(ISNUMBER($D5))),"",IF(OR($B5="Total general",$B5="Total Result"),SUM(N$4:N4),+M5*0.1))</f>
      </c>
      <c r="O5" s="82"/>
      <c r="P5" s="82"/>
      <c r="Q5" s="82"/>
      <c r="R5" s="82">
        <f>IF(OR($B5="",NOT(ISNUMBER($D5))),"",IF(OR($B5="Total general",$B5="Total Result"),SUM(R$4:R4),SUM(M5:Q5)/12))</f>
      </c>
      <c r="S5" s="83">
        <f>IF(OR($B5="",NOT(ISNUMBER($D5))),"",IF(OR($B5="Total general",$B5="Total Result"),SUM(S$4:S4),SUM(M5:R5)))</f>
      </c>
      <c r="T5" s="82"/>
      <c r="U5" s="82">
        <f>IF(OR($B5="",NOT(ISNUMBER($D5))),"",IF(OR($B5="Total general",$B5="Total Result"),SUM(U$4:U4),(S5)*19%*-1))</f>
      </c>
      <c r="V5" s="82"/>
      <c r="W5" s="83">
        <f>IF(OR($B5="",NOT(ISNUMBER($D5))),"",IF(OR($B5="Total general",$B5="Total Result"),SUM(W$4:W4),+S5+U5))</f>
      </c>
      <c r="X5" s="83"/>
      <c r="Y5" s="83">
        <f>IF(OR($B5="",NOT(ISNUMBER($D5))),"",IF(OR($B5="Total general",$B5="Total Result"),SUM(Y$4:Y4),+W5-X5))</f>
      </c>
      <c r="Z5" s="84">
        <f>IF(OR($B5="",NOT(ISNUMBER($D5))),"",IF(OR($B5="Total general",$B5="Total Result"),SUM(Z$4:Z4),+E5))</f>
      </c>
      <c r="AA5" s="85">
        <f>IF(OR($B5="",NOT(ISNUMBER($D5))),"",IF(OR($B5="Total general",$B5="Total Result"),SUM(AA$4:AA4),+Z5-W5))</f>
      </c>
      <c r="AB5" s="86"/>
      <c r="AC5" s="82">
        <f>IF(OR($B5="",NOT(ISNUMBER($D5))),"",IF(OR($B5="Total general",$B5="Total Result"),SUM(AC$4:AC4),(+M5+N5)))</f>
      </c>
      <c r="AD5" s="82">
        <f>IF(OR($B5="",NOT(ISNUMBER($D5))),"",IF(OR($B5="Total general",$B5="Total Result"),SUM(AD$4:AD4),+AC5*19%))</f>
      </c>
      <c r="AE5" s="82">
        <f>IF(OR($B5="",NOT(ISNUMBER($D5))),"",IF(OR($B5="Total general",$B5="Total Result"),SUM(AE$4:AE4),+AC5-AD5))</f>
      </c>
      <c r="AF5" s="82">
        <f>IF(OR($B5="",NOT(ISNUMBER($D5))),"",IF(OR($B5="Total general",$B5="Total Result"),SUM(AF$4:AF4),+AE5-Z5))</f>
      </c>
    </row>
    <row r="6" spans="1:38" x14ac:dyDescent="0.3">
      <c r="A6" s="80">
        <f>IF(OR($B6="",OR($B6="Total general",$B6="Total Result"),NOT(ISNUMBER($D6))),"",IFERROR(INDEX(Reporte!$A$2:$A$2,MATCH($B6,Reporte!$E$2:$E$2,0))&amp;"",""))</f>
      </c>
      <c r="B6" s="32"/>
      <c r="C6" s="34"/>
      <c r="D6" s="34"/>
      <c r="E6" s="81"/>
      <c r="F6" s="18">
        <f>IF(OR($B6="",OR($B6="Total general",$B6="Total Result"),NOT(ISNUMBER($D6))),"",IFERROR(VLOOKUP($B6,Reporte!$E$2:$F$2,2,FALSE),""))</f>
      </c>
      <c r="G6" s="19">
        <f>IF(OR($B6="",OR($B6="Total general",$B6="Total Result"),NOT(ISNUMBER($D6))),"",IFERROR(VLOOKUP($B6,Reporte!$E$2:$G$2,3,FALSE),""))</f>
      </c>
      <c r="H6" s="80">
        <f>IF(OR($B6="",OR($B6="Total general",$B6="Total Result"),NOT(ISNUMBER($D6))),"",IFERROR(VLOOKUP($F6,$AI$4:$AL$4,2,FALSE),0))</f>
      </c>
      <c r="I6" s="80">
        <f>IF(OR($B6="",OR($B6="Total general",$B6="Total Result"),NOT(ISNUMBER($D6))),"",IFERROR(VLOOKUP($F6,$AI$4:$AL$4,3,FALSE),0))</f>
      </c>
      <c r="J6" s="80">
        <f>IF(OR($B6="",OR($B6="Total general",$B6="Total Result"),NOT(ISNUMBER($D6))),"",IFERROR(VLOOKUP($F6,$AI$4:$AL$4,4,FALSE),0))</f>
      </c>
      <c r="K6" s="17"/>
      <c r="L6" s="16">
        <f>IF(OR($B6="",NOT(ISNUMBER($D6))),"",IF(OR($B6="Total general",$B6="Total Result"),SUM(L$4:L5),+D6))</f>
      </c>
      <c r="M6" s="82">
        <f>IF(OR($B6="",NOT(ISNUMBER($D6))),"",IF(OR($B6="Total general",$B6="Total Result"),SUM(M$4:M5),+L6*J6))</f>
      </c>
      <c r="N6" s="82">
        <f>IF(OR($B6="",NOT(ISNUMBER($D6))),"",IF(OR($B6="Total general",$B6="Total Result"),SUM(N$4:N5),+M6*0.1))</f>
      </c>
      <c r="O6" s="82"/>
      <c r="P6" s="82"/>
      <c r="Q6" s="82"/>
      <c r="R6" s="82">
        <f>IF(OR($B6="",NOT(ISNUMBER($D6))),"",IF(OR($B6="Total general",$B6="Total Result"),SUM(R$4:R5),SUM(M6:Q6)/12))</f>
      </c>
      <c r="S6" s="83">
        <f>IF(OR($B6="",NOT(ISNUMBER($D6))),"",IF(OR($B6="Total general",$B6="Total Result"),SUM(S$4:S5),SUM(M6:R6)))</f>
      </c>
      <c r="T6" s="82"/>
      <c r="U6" s="82">
        <f>IF(OR($B6="",NOT(ISNUMBER($D6))),"",IF(OR($B6="Total general",$B6="Total Result"),SUM(U$4:U5),(S6)*19%*-1))</f>
      </c>
      <c r="V6" s="82"/>
      <c r="W6" s="83">
        <f>IF(OR($B6="",NOT(ISNUMBER($D6))),"",IF(OR($B6="Total general",$B6="Total Result"),SUM(W$4:W5),+S6+U6))</f>
      </c>
      <c r="X6" s="83"/>
      <c r="Y6" s="83">
        <f>IF(OR($B6="",NOT(ISNUMBER($D6))),"",IF(OR($B6="Total general",$B6="Total Result"),SUM(Y$4:Y5),+W6-X6))</f>
      </c>
      <c r="Z6" s="84">
        <f>IF(OR($B6="",NOT(ISNUMBER($D6))),"",IF(OR($B6="Total general",$B6="Total Result"),SUM(Z$4:Z5),+E6))</f>
      </c>
      <c r="AA6" s="85">
        <f>IF(OR($B6="",NOT(ISNUMBER($D6))),"",IF(OR($B6="Total general",$B6="Total Result"),SUM(AA$4:AA5),+Z6-W6))</f>
      </c>
      <c r="AB6" s="86"/>
      <c r="AC6" s="82">
        <f>IF(OR($B6="",NOT(ISNUMBER($D6))),"",IF(OR($B6="Total general",$B6="Total Result"),SUM(AC$4:AC5),(+M6+N6)))</f>
      </c>
      <c r="AD6" s="82">
        <f>IF(OR($B6="",NOT(ISNUMBER($D6))),"",IF(OR($B6="Total general",$B6="Total Result"),SUM(AD$4:AD5),+AC6*19%))</f>
      </c>
      <c r="AE6" s="82">
        <f>IF(OR($B6="",NOT(ISNUMBER($D6))),"",IF(OR($B6="Total general",$B6="Total Result"),SUM(AE$4:AE5),+AC6-AD6))</f>
      </c>
      <c r="AF6" s="82">
        <f>IF(OR($B6="",NOT(ISNUMBER($D6))),"",IF(OR($B6="Total general",$B6="Total Result"),SUM(AF$4:AF5),+AE6-Z6))</f>
      </c>
    </row>
    <row r="7" spans="1:38" x14ac:dyDescent="0.3">
      <c r="A7" s="80">
        <f>IF(OR($B7="",OR($B7="Total general",$B7="Total Result"),NOT(ISNUMBER($D7))),"",IFERROR(INDEX(Reporte!$A$2:$A$2,MATCH($B7,Reporte!$E$2:$E$2,0))&amp;"",""))</f>
      </c>
      <c r="B7" s="32"/>
      <c r="C7" s="34"/>
      <c r="D7" s="34"/>
      <c r="E7" s="81"/>
      <c r="F7" s="18">
        <f>IF(OR($B7="",OR($B7="Total general",$B7="Total Result"),NOT(ISNUMBER($D7))),"",IFERROR(VLOOKUP($B7,Reporte!$E$2:$F$2,2,FALSE),""))</f>
      </c>
      <c r="G7" s="19">
        <f>IF(OR($B7="",OR($B7="Total general",$B7="Total Result"),NOT(ISNUMBER($D7))),"",IFERROR(VLOOKUP($B7,Reporte!$E$2:$G$2,3,FALSE),""))</f>
      </c>
      <c r="H7" s="80">
        <f>IF(OR($B7="",OR($B7="Total general",$B7="Total Result"),NOT(ISNUMBER($D7))),"",IFERROR(VLOOKUP($F7,$AI$4:$AL$4,2,FALSE),0))</f>
      </c>
      <c r="I7" s="80">
        <f>IF(OR($B7="",OR($B7="Total general",$B7="Total Result"),NOT(ISNUMBER($D7))),"",IFERROR(VLOOKUP($F7,$AI$4:$AL$4,3,FALSE),0))</f>
      </c>
      <c r="J7" s="80">
        <f>IF(OR($B7="",OR($B7="Total general",$B7="Total Result"),NOT(ISNUMBER($D7))),"",IFERROR(VLOOKUP($F7,$AI$4:$AL$4,4,FALSE),0))</f>
      </c>
      <c r="K7" s="17"/>
      <c r="L7" s="16">
        <f>IF(OR($B7="",NOT(ISNUMBER($D7))),"",IF(OR($B7="Total general",$B7="Total Result"),SUM(L$4:L6),+D7))</f>
      </c>
      <c r="M7" s="82">
        <f>IF(OR($B7="",NOT(ISNUMBER($D7))),"",IF(OR($B7="Total general",$B7="Total Result"),SUM(M$4:M6),+L7*J7))</f>
      </c>
      <c r="N7" s="82">
        <f>IF(OR($B7="",NOT(ISNUMBER($D7))),"",IF(OR($B7="Total general",$B7="Total Result"),SUM(N$4:N6),+M7*0.1))</f>
      </c>
      <c r="O7" s="82"/>
      <c r="P7" s="82"/>
      <c r="Q7" s="82"/>
      <c r="R7" s="82">
        <f>IF(OR($B7="",NOT(ISNUMBER($D7))),"",IF(OR($B7="Total general",$B7="Total Result"),SUM(R$4:R6),SUM(M7:Q7)/12))</f>
      </c>
      <c r="S7" s="83">
        <f>IF(OR($B7="",NOT(ISNUMBER($D7))),"",IF(OR($B7="Total general",$B7="Total Result"),SUM(S$4:S6),SUM(M7:R7)))</f>
      </c>
      <c r="T7" s="82"/>
      <c r="U7" s="82">
        <f>IF(OR($B7="",NOT(ISNUMBER($D7))),"",IF(OR($B7="Total general",$B7="Total Result"),SUM(U$4:U6),(S7)*19%*-1))</f>
      </c>
      <c r="V7" s="82"/>
      <c r="W7" s="83">
        <f>IF(OR($B7="",NOT(ISNUMBER($D7))),"",IF(OR($B7="Total general",$B7="Total Result"),SUM(W$4:W6),+S7+U7))</f>
      </c>
      <c r="X7" s="83"/>
      <c r="Y7" s="83">
        <f>IF(OR($B7="",NOT(ISNUMBER($D7))),"",IF(OR($B7="Total general",$B7="Total Result"),SUM(Y$4:Y6),+W7-X7))</f>
      </c>
      <c r="Z7" s="84">
        <f>IF(OR($B7="",NOT(ISNUMBER($D7))),"",IF(OR($B7="Total general",$B7="Total Result"),SUM(Z$4:Z6),+E7))</f>
      </c>
      <c r="AA7" s="85">
        <f>IF(OR($B7="",NOT(ISNUMBER($D7))),"",IF(OR($B7="Total general",$B7="Total Result"),SUM(AA$4:AA6),+Z7-W7))</f>
      </c>
      <c r="AB7" s="86"/>
      <c r="AC7" s="82">
        <f>IF(OR($B7="",NOT(ISNUMBER($D7))),"",IF(OR($B7="Total general",$B7="Total Result"),SUM(AC$4:AC6),(+M7+N7)))</f>
      </c>
      <c r="AD7" s="82">
        <f>IF(OR($B7="",NOT(ISNUMBER($D7))),"",IF(OR($B7="Total general",$B7="Total Result"),SUM(AD$4:AD6),+AC7*19%))</f>
      </c>
      <c r="AE7" s="82">
        <f>IF(OR($B7="",NOT(ISNUMBER($D7))),"",IF(OR($B7="Total general",$B7="Total Result"),SUM(AE$4:AE6),+AC7-AD7))</f>
      </c>
      <c r="AF7" s="82">
        <f>IF(OR($B7="",NOT(ISNUMBER($D7))),"",IF(OR($B7="Total general",$B7="Total Result"),SUM(AF$4:AF6),+AE7-Z7))</f>
      </c>
    </row>
    <row r="8" spans="1:38" x14ac:dyDescent="0.3">
      <c r="A8" s="80">
        <f>IF(OR($B8="",OR($B8="Total general",$B8="Total Result"),NOT(ISNUMBER($D8))),"",IFERROR(INDEX(Reporte!$A$2:$A$2,MATCH($B8,Reporte!$E$2:$E$2,0))&amp;"",""))</f>
      </c>
      <c r="B8" s="32"/>
      <c r="C8" s="34"/>
      <c r="D8" s="34"/>
      <c r="E8" s="81"/>
      <c r="F8" s="18">
        <f>IF(OR($B8="",OR($B8="Total general",$B8="Total Result"),NOT(ISNUMBER($D8))),"",IFERROR(VLOOKUP($B8,Reporte!$E$2:$F$2,2,FALSE),""))</f>
      </c>
      <c r="G8" s="19">
        <f>IF(OR($B8="",OR($B8="Total general",$B8="Total Result"),NOT(ISNUMBER($D8))),"",IFERROR(VLOOKUP($B8,Reporte!$E$2:$G$2,3,FALSE),""))</f>
      </c>
      <c r="H8" s="80">
        <f>IF(OR($B8="",OR($B8="Total general",$B8="Total Result"),NOT(ISNUMBER($D8))),"",IFERROR(VLOOKUP($F8,$AI$4:$AL$4,2,FALSE),0))</f>
      </c>
      <c r="I8" s="80">
        <f>IF(OR($B8="",OR($B8="Total general",$B8="Total Result"),NOT(ISNUMBER($D8))),"",IFERROR(VLOOKUP($F8,$AI$4:$AL$4,3,FALSE),0))</f>
      </c>
      <c r="J8" s="80">
        <f>IF(OR($B8="",OR($B8="Total general",$B8="Total Result"),NOT(ISNUMBER($D8))),"",IFERROR(VLOOKUP($F8,$AI$4:$AL$4,4,FALSE),0))</f>
      </c>
      <c r="K8" s="17"/>
      <c r="L8" s="16">
        <f>IF(OR($B8="",NOT(ISNUMBER($D8))),"",IF(OR($B8="Total general",$B8="Total Result"),SUM(L$4:L7),+D8))</f>
      </c>
      <c r="M8" s="82">
        <f>IF(OR($B8="",NOT(ISNUMBER($D8))),"",IF(OR($B8="Total general",$B8="Total Result"),SUM(M$4:M7),+L8*J8))</f>
      </c>
      <c r="N8" s="82">
        <f>IF(OR($B8="",NOT(ISNUMBER($D8))),"",IF(OR($B8="Total general",$B8="Total Result"),SUM(N$4:N7),+M8*0.1))</f>
      </c>
      <c r="O8" s="82"/>
      <c r="P8" s="82"/>
      <c r="Q8" s="82"/>
      <c r="R8" s="82">
        <f>IF(OR($B8="",NOT(ISNUMBER($D8))),"",IF(OR($B8="Total general",$B8="Total Result"),SUM(R$4:R7),SUM(M8:Q8)/12))</f>
      </c>
      <c r="S8" s="83">
        <f>IF(OR($B8="",NOT(ISNUMBER($D8))),"",IF(OR($B8="Total general",$B8="Total Result"),SUM(S$4:S7),SUM(M8:R8)))</f>
      </c>
      <c r="T8" s="82"/>
      <c r="U8" s="82">
        <f>IF(OR($B8="",NOT(ISNUMBER($D8))),"",IF(OR($B8="Total general",$B8="Total Result"),SUM(U$4:U7),(S8)*19%*-1))</f>
      </c>
      <c r="V8" s="82"/>
      <c r="W8" s="83">
        <f>IF(OR($B8="",NOT(ISNUMBER($D8))),"",IF(OR($B8="Total general",$B8="Total Result"),SUM(W$4:W7),+S8+U8))</f>
      </c>
      <c r="X8" s="83"/>
      <c r="Y8" s="83">
        <f>IF(OR($B8="",NOT(ISNUMBER($D8))),"",IF(OR($B8="Total general",$B8="Total Result"),SUM(Y$4:Y7),+W8-X8))</f>
      </c>
      <c r="Z8" s="84">
        <f>IF(OR($B8="",NOT(ISNUMBER($D8))),"",IF(OR($B8="Total general",$B8="Total Result"),SUM(Z$4:Z7),+E8))</f>
      </c>
      <c r="AA8" s="85">
        <f>IF(OR($B8="",NOT(ISNUMBER($D8))),"",IF(OR($B8="Total general",$B8="Total Result"),SUM(AA$4:AA7),+Z8-W8))</f>
      </c>
      <c r="AB8" s="86"/>
      <c r="AC8" s="82">
        <f>IF(OR($B8="",NOT(ISNUMBER($D8))),"",IF(OR($B8="Total general",$B8="Total Result"),SUM(AC$4:AC7),(+M8+N8)))</f>
      </c>
      <c r="AD8" s="82">
        <f>IF(OR($B8="",NOT(ISNUMBER($D8))),"",IF(OR($B8="Total general",$B8="Total Result"),SUM(AD$4:AD7),+AC8*19%))</f>
      </c>
      <c r="AE8" s="82">
        <f>IF(OR($B8="",NOT(ISNUMBER($D8))),"",IF(OR($B8="Total general",$B8="Total Result"),SUM(AE$4:AE7),+AC8-AD8))</f>
      </c>
      <c r="AF8" s="82">
        <f>IF(OR($B8="",NOT(ISNUMBER($D8))),"",IF(OR($B8="Total general",$B8="Total Result"),SUM(AF$4:AF7),+AE8-Z8))</f>
      </c>
    </row>
    <row r="9" spans="1:38" x14ac:dyDescent="0.3">
      <c r="A9" s="80">
        <f>IF(OR($B9="",OR($B9="Total general",$B9="Total Result"),NOT(ISNUMBER($D9))),"",IFERROR(INDEX(Reporte!$A$2:$A$2,MATCH($B9,Reporte!$E$2:$E$2,0))&amp;"",""))</f>
      </c>
      <c r="B9" s="32"/>
      <c r="C9" s="34"/>
      <c r="D9" s="34"/>
      <c r="E9" s="81"/>
      <c r="F9" s="18">
        <f>IF(OR($B9="",OR($B9="Total general",$B9="Total Result"),NOT(ISNUMBER($D9))),"",IFERROR(VLOOKUP($B9,Reporte!$E$2:$F$2,2,FALSE),""))</f>
      </c>
      <c r="G9" s="19">
        <f>IF(OR($B9="",OR($B9="Total general",$B9="Total Result"),NOT(ISNUMBER($D9))),"",IFERROR(VLOOKUP($B9,Reporte!$E$2:$G$2,3,FALSE),""))</f>
      </c>
      <c r="H9" s="80">
        <f>IF(OR($B9="",OR($B9="Total general",$B9="Total Result"),NOT(ISNUMBER($D9))),"",IFERROR(VLOOKUP($F9,$AI$4:$AL$4,2,FALSE),0))</f>
      </c>
      <c r="I9" s="80">
        <f>IF(OR($B9="",OR($B9="Total general",$B9="Total Result"),NOT(ISNUMBER($D9))),"",IFERROR(VLOOKUP($F9,$AI$4:$AL$4,3,FALSE),0))</f>
      </c>
      <c r="J9" s="80">
        <f>IF(OR($B9="",OR($B9="Total general",$B9="Total Result"),NOT(ISNUMBER($D9))),"",IFERROR(VLOOKUP($F9,$AI$4:$AL$4,4,FALSE),0))</f>
      </c>
      <c r="K9" s="17"/>
      <c r="L9" s="16">
        <f>IF(OR($B9="",NOT(ISNUMBER($D9))),"",IF(OR($B9="Total general",$B9="Total Result"),SUM(L$4:L8),+D9))</f>
      </c>
      <c r="M9" s="82">
        <f>IF(OR($B9="",NOT(ISNUMBER($D9))),"",IF(OR($B9="Total general",$B9="Total Result"),SUM(M$4:M8),+L9*J9))</f>
      </c>
      <c r="N9" s="82">
        <f>IF(OR($B9="",NOT(ISNUMBER($D9))),"",IF(OR($B9="Total general",$B9="Total Result"),SUM(N$4:N8),+M9*0.1))</f>
      </c>
      <c r="O9" s="82"/>
      <c r="P9" s="82"/>
      <c r="Q9" s="82"/>
      <c r="R9" s="82">
        <f>IF(OR($B9="",NOT(ISNUMBER($D9))),"",IF(OR($B9="Total general",$B9="Total Result"),SUM(R$4:R8),SUM(M9:Q9)/12))</f>
      </c>
      <c r="S9" s="83">
        <f>IF(OR($B9="",NOT(ISNUMBER($D9))),"",IF(OR($B9="Total general",$B9="Total Result"),SUM(S$4:S8),SUM(M9:R9)))</f>
      </c>
      <c r="T9" s="82"/>
      <c r="U9" s="82">
        <f>IF(OR($B9="",NOT(ISNUMBER($D9))),"",IF(OR($B9="Total general",$B9="Total Result"),SUM(U$4:U8),(S9)*19%*-1))</f>
      </c>
      <c r="V9" s="82"/>
      <c r="W9" s="83">
        <f>IF(OR($B9="",NOT(ISNUMBER($D9))),"",IF(OR($B9="Total general",$B9="Total Result"),SUM(W$4:W8),+S9+U9))</f>
      </c>
      <c r="X9" s="83"/>
      <c r="Y9" s="83">
        <f>IF(OR($B9="",NOT(ISNUMBER($D9))),"",IF(OR($B9="Total general",$B9="Total Result"),SUM(Y$4:Y8),+W9-X9))</f>
      </c>
      <c r="Z9" s="84">
        <f>IF(OR($B9="",NOT(ISNUMBER($D9))),"",IF(OR($B9="Total general",$B9="Total Result"),SUM(Z$4:Z8),+E9))</f>
      </c>
      <c r="AA9" s="85">
        <f>IF(OR($B9="",NOT(ISNUMBER($D9))),"",IF(OR($B9="Total general",$B9="Total Result"),SUM(AA$4:AA8),+Z9-W9))</f>
      </c>
      <c r="AB9" s="86"/>
      <c r="AC9" s="82">
        <f>IF(OR($B9="",NOT(ISNUMBER($D9))),"",IF(OR($B9="Total general",$B9="Total Result"),SUM(AC$4:AC8),(+M9+N9)))</f>
      </c>
      <c r="AD9" s="82">
        <f>IF(OR($B9="",NOT(ISNUMBER($D9))),"",IF(OR($B9="Total general",$B9="Total Result"),SUM(AD$4:AD8),+AC9*19%))</f>
      </c>
      <c r="AE9" s="82">
        <f>IF(OR($B9="",NOT(ISNUMBER($D9))),"",IF(OR($B9="Total general",$B9="Total Result"),SUM(AE$4:AE8),+AC9-AD9))</f>
      </c>
      <c r="AF9" s="82">
        <f>IF(OR($B9="",NOT(ISNUMBER($D9))),"",IF(OR($B9="Total general",$B9="Total Result"),SUM(AF$4:AF8),+AE9-Z9))</f>
      </c>
    </row>
    <row r="10" spans="1:38" x14ac:dyDescent="0.3">
      <c r="A10" s="80">
        <f>IF(OR($B10="",OR($B10="Total general",$B10="Total Result"),NOT(ISNUMBER($D10))),"",IFERROR(INDEX(Reporte!$A$2:$A$2,MATCH($B10,Reporte!$E$2:$E$2,0))&amp;"",""))</f>
      </c>
      <c r="B10" s="32"/>
      <c r="C10" s="34"/>
      <c r="D10" s="34"/>
      <c r="E10" s="81"/>
      <c r="F10" s="18">
        <f>IF(OR($B10="",OR($B10="Total general",$B10="Total Result"),NOT(ISNUMBER($D10))),"",IFERROR(VLOOKUP($B10,Reporte!$E$2:$F$2,2,FALSE),""))</f>
      </c>
      <c r="G10" s="19">
        <f>IF(OR($B10="",OR($B10="Total general",$B10="Total Result"),NOT(ISNUMBER($D10))),"",IFERROR(VLOOKUP($B10,Reporte!$E$2:$G$2,3,FALSE),""))</f>
      </c>
      <c r="H10" s="80">
        <f>IF(OR($B10="",OR($B10="Total general",$B10="Total Result"),NOT(ISNUMBER($D10))),"",IFERROR(VLOOKUP($F10,$AI$4:$AL$4,2,FALSE),0))</f>
      </c>
      <c r="I10" s="80">
        <f>IF(OR($B10="",OR($B10="Total general",$B10="Total Result"),NOT(ISNUMBER($D10))),"",IFERROR(VLOOKUP($F10,$AI$4:$AL$4,3,FALSE),0))</f>
      </c>
      <c r="J10" s="80">
        <f>IF(OR($B10="",OR($B10="Total general",$B10="Total Result"),NOT(ISNUMBER($D10))),"",IFERROR(VLOOKUP($F10,$AI$4:$AL$4,4,FALSE),0))</f>
      </c>
      <c r="K10" s="17"/>
      <c r="L10" s="16">
        <f>IF(OR($B10="",NOT(ISNUMBER($D10))),"",IF(OR($B10="Total general",$B10="Total Result"),SUM(L$4:L9),+D10))</f>
      </c>
      <c r="M10" s="82">
        <f>IF(OR($B10="",NOT(ISNUMBER($D10))),"",IF(OR($B10="Total general",$B10="Total Result"),SUM(M$4:M9),+L10*J10))</f>
      </c>
      <c r="N10" s="82">
        <f>IF(OR($B10="",NOT(ISNUMBER($D10))),"",IF(OR($B10="Total general",$B10="Total Result"),SUM(N$4:N9),+M10*0.1))</f>
      </c>
      <c r="O10" s="82"/>
      <c r="P10" s="82"/>
      <c r="Q10" s="82"/>
      <c r="R10" s="82">
        <f>IF(OR($B10="",NOT(ISNUMBER($D10))),"",IF(OR($B10="Total general",$B10="Total Result"),SUM(R$4:R9),SUM(M10:Q10)/12))</f>
      </c>
      <c r="S10" s="83">
        <f>IF(OR($B10="",NOT(ISNUMBER($D10))),"",IF(OR($B10="Total general",$B10="Total Result"),SUM(S$4:S9),SUM(M10:R10)))</f>
      </c>
      <c r="T10" s="82"/>
      <c r="U10" s="82">
        <f>IF(OR($B10="",NOT(ISNUMBER($D10))),"",IF(OR($B10="Total general",$B10="Total Result"),SUM(U$4:U9),(S10)*19%*-1))</f>
      </c>
      <c r="V10" s="82"/>
      <c r="W10" s="83">
        <f>IF(OR($B10="",NOT(ISNUMBER($D10))),"",IF(OR($B10="Total general",$B10="Total Result"),SUM(W$4:W9),+S10+U10))</f>
      </c>
      <c r="X10" s="83"/>
      <c r="Y10" s="83">
        <f>IF(OR($B10="",NOT(ISNUMBER($D10))),"",IF(OR($B10="Total general",$B10="Total Result"),SUM(Y$4:Y9),+W10-X10))</f>
      </c>
      <c r="Z10" s="84">
        <f>IF(OR($B10="",NOT(ISNUMBER($D10))),"",IF(OR($B10="Total general",$B10="Total Result"),SUM(Z$4:Z9),+E10))</f>
      </c>
      <c r="AA10" s="85">
        <f>IF(OR($B10="",NOT(ISNUMBER($D10))),"",IF(OR($B10="Total general",$B10="Total Result"),SUM(AA$4:AA9),+Z10-W10))</f>
      </c>
      <c r="AB10" s="86"/>
      <c r="AC10" s="82">
        <f>IF(OR($B10="",NOT(ISNUMBER($D10))),"",IF(OR($B10="Total general",$B10="Total Result"),SUM(AC$4:AC9),(+M10+N10)))</f>
      </c>
      <c r="AD10" s="82">
        <f>IF(OR($B10="",NOT(ISNUMBER($D10))),"",IF(OR($B10="Total general",$B10="Total Result"),SUM(AD$4:AD9),+AC10*19%))</f>
      </c>
      <c r="AE10" s="82">
        <f>IF(OR($B10="",NOT(ISNUMBER($D10))),"",IF(OR($B10="Total general",$B10="Total Result"),SUM(AE$4:AE9),+AC10-AD10))</f>
      </c>
      <c r="AF10" s="82">
        <f>IF(OR($B10="",NOT(ISNUMBER($D10))),"",IF(OR($B10="Total general",$B10="Total Result"),SUM(AF$4:AF9),+AE10-Z10))</f>
      </c>
    </row>
    <row r="11" spans="1:38" x14ac:dyDescent="0.3">
      <c r="A11" s="80">
        <f>IF(OR($B11="",OR($B11="Total general",$B11="Total Result"),NOT(ISNUMBER($D11))),"",IFERROR(INDEX(Reporte!$A$2:$A$2,MATCH($B11,Reporte!$E$2:$E$2,0))&amp;"",""))</f>
      </c>
      <c r="B11" s="32"/>
      <c r="C11" s="34"/>
      <c r="D11" s="34"/>
      <c r="E11" s="81"/>
      <c r="F11" s="18">
        <f>IF(OR($B11="",OR($B11="Total general",$B11="Total Result"),NOT(ISNUMBER($D11))),"",IFERROR(VLOOKUP($B11,Reporte!$E$2:$F$2,2,FALSE),""))</f>
      </c>
      <c r="G11" s="19">
        <f>IF(OR($B11="",OR($B11="Total general",$B11="Total Result"),NOT(ISNUMBER($D11))),"",IFERROR(VLOOKUP($B11,Reporte!$E$2:$G$2,3,FALSE),""))</f>
      </c>
      <c r="H11" s="80">
        <f>IF(OR($B11="",OR($B11="Total general",$B11="Total Result"),NOT(ISNUMBER($D11))),"",IFERROR(VLOOKUP($F11,$AI$4:$AL$4,2,FALSE),0))</f>
      </c>
      <c r="I11" s="80">
        <f>IF(OR($B11="",OR($B11="Total general",$B11="Total Result"),NOT(ISNUMBER($D11))),"",IFERROR(VLOOKUP($F11,$AI$4:$AL$4,3,FALSE),0))</f>
      </c>
      <c r="J11" s="80">
        <f>IF(OR($B11="",OR($B11="Total general",$B11="Total Result"),NOT(ISNUMBER($D11))),"",IFERROR(VLOOKUP($F11,$AI$4:$AL$4,4,FALSE),0))</f>
      </c>
      <c r="K11" s="17"/>
      <c r="L11" s="16">
        <f>IF(OR($B11="",NOT(ISNUMBER($D11))),"",IF(OR($B11="Total general",$B11="Total Result"),SUM(L$4:L10),+D11))</f>
      </c>
      <c r="M11" s="82">
        <f>IF(OR($B11="",NOT(ISNUMBER($D11))),"",IF(OR($B11="Total general",$B11="Total Result"),SUM(M$4:M10),+L11*J11))</f>
      </c>
      <c r="N11" s="82">
        <f>IF(OR($B11="",NOT(ISNUMBER($D11))),"",IF(OR($B11="Total general",$B11="Total Result"),SUM(N$4:N10),+M11*0.1))</f>
      </c>
      <c r="O11" s="82"/>
      <c r="P11" s="82"/>
      <c r="Q11" s="82"/>
      <c r="R11" s="82">
        <f>IF(OR($B11="",NOT(ISNUMBER($D11))),"",IF(OR($B11="Total general",$B11="Total Result"),SUM(R$4:R10),SUM(M11:Q11)/12))</f>
      </c>
      <c r="S11" s="83">
        <f>IF(OR($B11="",NOT(ISNUMBER($D11))),"",IF(OR($B11="Total general",$B11="Total Result"),SUM(S$4:S10),SUM(M11:R11)))</f>
      </c>
      <c r="T11" s="82"/>
      <c r="U11" s="82">
        <f>IF(OR($B11="",NOT(ISNUMBER($D11))),"",IF(OR($B11="Total general",$B11="Total Result"),SUM(U$4:U10),(S11)*19%*-1))</f>
      </c>
      <c r="V11" s="82"/>
      <c r="W11" s="83">
        <f>IF(OR($B11="",NOT(ISNUMBER($D11))),"",IF(OR($B11="Total general",$B11="Total Result"),SUM(W$4:W10),+S11+U11))</f>
      </c>
      <c r="X11" s="83"/>
      <c r="Y11" s="83">
        <f>IF(OR($B11="",NOT(ISNUMBER($D11))),"",IF(OR($B11="Total general",$B11="Total Result"),SUM(Y$4:Y10),+W11-X11))</f>
      </c>
      <c r="Z11" s="84">
        <f>IF(OR($B11="",NOT(ISNUMBER($D11))),"",IF(OR($B11="Total general",$B11="Total Result"),SUM(Z$4:Z10),+E11))</f>
      </c>
      <c r="AA11" s="85">
        <f>IF(OR($B11="",NOT(ISNUMBER($D11))),"",IF(OR($B11="Total general",$B11="Total Result"),SUM(AA$4:AA10),+Z11-W11))</f>
      </c>
      <c r="AB11" s="86"/>
      <c r="AC11" s="82">
        <f>IF(OR($B11="",NOT(ISNUMBER($D11))),"",IF(OR($B11="Total general",$B11="Total Result"),SUM(AC$4:AC10),(+M11+N11)))</f>
      </c>
      <c r="AD11" s="82">
        <f>IF(OR($B11="",NOT(ISNUMBER($D11))),"",IF(OR($B11="Total general",$B11="Total Result"),SUM(AD$4:AD10),+AC11*19%))</f>
      </c>
      <c r="AE11" s="82">
        <f>IF(OR($B11="",NOT(ISNUMBER($D11))),"",IF(OR($B11="Total general",$B11="Total Result"),SUM(AE$4:AE10),+AC11-AD11))</f>
      </c>
      <c r="AF11" s="82">
        <f>IF(OR($B11="",NOT(ISNUMBER($D11))),"",IF(OR($B11="Total general",$B11="Total Result"),SUM(AF$4:AF10),+AE11-Z11))</f>
      </c>
    </row>
    <row r="12" spans="1:38" x14ac:dyDescent="0.3">
      <c r="A12" s="80">
        <f>IF(OR($B12="",OR($B12="Total general",$B12="Total Result"),NOT(ISNUMBER($D12))),"",IFERROR(INDEX(Reporte!$A$2:$A$2,MATCH($B12,Reporte!$E$2:$E$2,0))&amp;"",""))</f>
      </c>
      <c r="B12" s="32"/>
      <c r="C12" s="34"/>
      <c r="D12" s="34"/>
      <c r="E12" s="81"/>
      <c r="F12" s="18">
        <f>IF(OR($B12="",OR($B12="Total general",$B12="Total Result"),NOT(ISNUMBER($D12))),"",IFERROR(VLOOKUP($B12,Reporte!$E$2:$F$2,2,FALSE),""))</f>
      </c>
      <c r="G12" s="19">
        <f>IF(OR($B12="",OR($B12="Total general",$B12="Total Result"),NOT(ISNUMBER($D12))),"",IFERROR(VLOOKUP($B12,Reporte!$E$2:$G$2,3,FALSE),""))</f>
      </c>
      <c r="H12" s="80">
        <f>IF(OR($B12="",OR($B12="Total general",$B12="Total Result"),NOT(ISNUMBER($D12))),"",IFERROR(VLOOKUP($F12,$AI$4:$AL$4,2,FALSE),0))</f>
      </c>
      <c r="I12" s="80">
        <f>IF(OR($B12="",OR($B12="Total general",$B12="Total Result"),NOT(ISNUMBER($D12))),"",IFERROR(VLOOKUP($F12,$AI$4:$AL$4,3,FALSE),0))</f>
      </c>
      <c r="J12" s="80">
        <f>IF(OR($B12="",OR($B12="Total general",$B12="Total Result"),NOT(ISNUMBER($D12))),"",IFERROR(VLOOKUP($F12,$AI$4:$AL$4,4,FALSE),0))</f>
      </c>
      <c r="K12" s="17"/>
      <c r="L12" s="16">
        <f>IF(OR($B12="",NOT(ISNUMBER($D12))),"",IF(OR($B12="Total general",$B12="Total Result"),SUM(L$4:L11),+D12))</f>
      </c>
      <c r="M12" s="82">
        <f>IF(OR($B12="",NOT(ISNUMBER($D12))),"",IF(OR($B12="Total general",$B12="Total Result"),SUM(M$4:M11),+L12*J12))</f>
      </c>
      <c r="N12" s="82">
        <f>IF(OR($B12="",NOT(ISNUMBER($D12))),"",IF(OR($B12="Total general",$B12="Total Result"),SUM(N$4:N11),+M12*0.1))</f>
      </c>
      <c r="O12" s="82"/>
      <c r="P12" s="82"/>
      <c r="Q12" s="82"/>
      <c r="R12" s="82">
        <f>IF(OR($B12="",NOT(ISNUMBER($D12))),"",IF(OR($B12="Total general",$B12="Total Result"),SUM(R$4:R11),SUM(M12:Q12)/12))</f>
      </c>
      <c r="S12" s="83">
        <f>IF(OR($B12="",NOT(ISNUMBER($D12))),"",IF(OR($B12="Total general",$B12="Total Result"),SUM(S$4:S11),SUM(M12:R12)))</f>
      </c>
      <c r="T12" s="82"/>
      <c r="U12" s="82">
        <f>IF(OR($B12="",NOT(ISNUMBER($D12))),"",IF(OR($B12="Total general",$B12="Total Result"),SUM(U$4:U11),(S12)*19%*-1))</f>
      </c>
      <c r="V12" s="82"/>
      <c r="W12" s="83">
        <f>IF(OR($B12="",NOT(ISNUMBER($D12))),"",IF(OR($B12="Total general",$B12="Total Result"),SUM(W$4:W11),+S12+U12))</f>
      </c>
      <c r="X12" s="83"/>
      <c r="Y12" s="83">
        <f>IF(OR($B12="",NOT(ISNUMBER($D12))),"",IF(OR($B12="Total general",$B12="Total Result"),SUM(Y$4:Y11),+W12-X12))</f>
      </c>
      <c r="Z12" s="84">
        <f>IF(OR($B12="",NOT(ISNUMBER($D12))),"",IF(OR($B12="Total general",$B12="Total Result"),SUM(Z$4:Z11),+E12))</f>
      </c>
      <c r="AA12" s="85">
        <f>IF(OR($B12="",NOT(ISNUMBER($D12))),"",IF(OR($B12="Total general",$B12="Total Result"),SUM(AA$4:AA11),+Z12-W12))</f>
      </c>
      <c r="AB12" s="86"/>
      <c r="AC12" s="82">
        <f>IF(OR($B12="",NOT(ISNUMBER($D12))),"",IF(OR($B12="Total general",$B12="Total Result"),SUM(AC$4:AC11),(+M12+N12)))</f>
      </c>
      <c r="AD12" s="82">
        <f>IF(OR($B12="",NOT(ISNUMBER($D12))),"",IF(OR($B12="Total general",$B12="Total Result"),SUM(AD$4:AD11),+AC12*19%))</f>
      </c>
      <c r="AE12" s="82">
        <f>IF(OR($B12="",NOT(ISNUMBER($D12))),"",IF(OR($B12="Total general",$B12="Total Result"),SUM(AE$4:AE11),+AC12-AD12))</f>
      </c>
      <c r="AF12" s="82">
        <f>IF(OR($B12="",NOT(ISNUMBER($D12))),"",IF(OR($B12="Total general",$B12="Total Result"),SUM(AF$4:AF11),+AE12-Z12))</f>
      </c>
    </row>
    <row r="13" spans="1:38" x14ac:dyDescent="0.3">
      <c r="A13" s="80">
        <f>IF(OR($B13="",OR($B13="Total general",$B13="Total Result"),NOT(ISNUMBER($D13))),"",IFERROR(INDEX(Reporte!$A$2:$A$2,MATCH($B13,Reporte!$E$2:$E$2,0))&amp;"",""))</f>
      </c>
      <c r="B13" s="32"/>
      <c r="C13" s="34"/>
      <c r="D13" s="34"/>
      <c r="E13" s="81"/>
      <c r="F13" s="18">
        <f>IF(OR($B13="",OR($B13="Total general",$B13="Total Result"),NOT(ISNUMBER($D13))),"",IFERROR(VLOOKUP($B13,Reporte!$E$2:$F$2,2,FALSE),""))</f>
      </c>
      <c r="G13" s="19">
        <f>IF(OR($B13="",OR($B13="Total general",$B13="Total Result"),NOT(ISNUMBER($D13))),"",IFERROR(VLOOKUP($B13,Reporte!$E$2:$G$2,3,FALSE),""))</f>
      </c>
      <c r="H13" s="80">
        <f>IF(OR($B13="",OR($B13="Total general",$B13="Total Result"),NOT(ISNUMBER($D13))),"",IFERROR(VLOOKUP($F13,$AI$4:$AL$4,2,FALSE),0))</f>
      </c>
      <c r="I13" s="80">
        <f>IF(OR($B13="",OR($B13="Total general",$B13="Total Result"),NOT(ISNUMBER($D13))),"",IFERROR(VLOOKUP($F13,$AI$4:$AL$4,3,FALSE),0))</f>
      </c>
      <c r="J13" s="80">
        <f>IF(OR($B13="",OR($B13="Total general",$B13="Total Result"),NOT(ISNUMBER($D13))),"",IFERROR(VLOOKUP($F13,$AI$4:$AL$4,4,FALSE),0))</f>
      </c>
      <c r="K13" s="17"/>
      <c r="L13" s="16">
        <f>IF(OR($B13="",NOT(ISNUMBER($D13))),"",IF(OR($B13="Total general",$B13="Total Result"),SUM(L$4:L12),+D13))</f>
      </c>
      <c r="M13" s="82">
        <f>IF(OR($B13="",NOT(ISNUMBER($D13))),"",IF(OR($B13="Total general",$B13="Total Result"),SUM(M$4:M12),+L13*J13))</f>
      </c>
      <c r="N13" s="82">
        <f>IF(OR($B13="",NOT(ISNUMBER($D13))),"",IF(OR($B13="Total general",$B13="Total Result"),SUM(N$4:N12),+M13*0.1))</f>
      </c>
      <c r="O13" s="82"/>
      <c r="P13" s="82"/>
      <c r="Q13" s="82"/>
      <c r="R13" s="82">
        <f>IF(OR($B13="",NOT(ISNUMBER($D13))),"",IF(OR($B13="Total general",$B13="Total Result"),SUM(R$4:R12),SUM(M13:Q13)/12))</f>
      </c>
      <c r="S13" s="83">
        <f>IF(OR($B13="",NOT(ISNUMBER($D13))),"",IF(OR($B13="Total general",$B13="Total Result"),SUM(S$4:S12),SUM(M13:R13)))</f>
      </c>
      <c r="T13" s="82"/>
      <c r="U13" s="82">
        <f>IF(OR($B13="",NOT(ISNUMBER($D13))),"",IF(OR($B13="Total general",$B13="Total Result"),SUM(U$4:U12),(S13)*19%*-1))</f>
      </c>
      <c r="V13" s="82"/>
      <c r="W13" s="83">
        <f>IF(OR($B13="",NOT(ISNUMBER($D13))),"",IF(OR($B13="Total general",$B13="Total Result"),SUM(W$4:W12),+S13+U13))</f>
      </c>
      <c r="X13" s="83"/>
      <c r="Y13" s="83">
        <f>IF(OR($B13="",NOT(ISNUMBER($D13))),"",IF(OR($B13="Total general",$B13="Total Result"),SUM(Y$4:Y12),+W13-X13))</f>
      </c>
      <c r="Z13" s="84">
        <f>IF(OR($B13="",NOT(ISNUMBER($D13))),"",IF(OR($B13="Total general",$B13="Total Result"),SUM(Z$4:Z12),+E13))</f>
      </c>
      <c r="AA13" s="85">
        <f>IF(OR($B13="",NOT(ISNUMBER($D13))),"",IF(OR($B13="Total general",$B13="Total Result"),SUM(AA$4:AA12),+Z13-W13))</f>
      </c>
      <c r="AB13" s="86"/>
      <c r="AC13" s="82">
        <f>IF(OR($B13="",NOT(ISNUMBER($D13))),"",IF(OR($B13="Total general",$B13="Total Result"),SUM(AC$4:AC12),(+M13+N13)))</f>
      </c>
      <c r="AD13" s="82">
        <f>IF(OR($B13="",NOT(ISNUMBER($D13))),"",IF(OR($B13="Total general",$B13="Total Result"),SUM(AD$4:AD12),+AC13*19%))</f>
      </c>
      <c r="AE13" s="82">
        <f>IF(OR($B13="",NOT(ISNUMBER($D13))),"",IF(OR($B13="Total general",$B13="Total Result"),SUM(AE$4:AE12),+AC13-AD13))</f>
      </c>
      <c r="AF13" s="82">
        <f>IF(OR($B13="",NOT(ISNUMBER($D13))),"",IF(OR($B13="Total general",$B13="Total Result"),SUM(AF$4:AF12),+AE13-Z13))</f>
      </c>
    </row>
    <row r="14" spans="1:38" x14ac:dyDescent="0.3">
      <c r="A14" s="80">
        <f>IF(OR($B14="",OR($B14="Total general",$B14="Total Result"),NOT(ISNUMBER($D14))),"",IFERROR(INDEX(Reporte!$A$2:$A$2,MATCH($B14,Reporte!$E$2:$E$2,0))&amp;"",""))</f>
      </c>
      <c r="B14" s="32"/>
      <c r="C14" s="34"/>
      <c r="D14" s="34"/>
      <c r="E14" s="81"/>
      <c r="F14" s="18">
        <f>IF(OR($B14="",OR($B14="Total general",$B14="Total Result"),NOT(ISNUMBER($D14))),"",IFERROR(VLOOKUP($B14,Reporte!$E$2:$F$2,2,FALSE),""))</f>
      </c>
      <c r="G14" s="19">
        <f>IF(OR($B14="",OR($B14="Total general",$B14="Total Result"),NOT(ISNUMBER($D14))),"",IFERROR(VLOOKUP($B14,Reporte!$E$2:$G$2,3,FALSE),""))</f>
      </c>
      <c r="H14" s="80">
        <f>IF(OR($B14="",OR($B14="Total general",$B14="Total Result"),NOT(ISNUMBER($D14))),"",IFERROR(VLOOKUP($F14,$AI$4:$AL$4,2,FALSE),0))</f>
      </c>
      <c r="I14" s="80">
        <f>IF(OR($B14="",OR($B14="Total general",$B14="Total Result"),NOT(ISNUMBER($D14))),"",IFERROR(VLOOKUP($F14,$AI$4:$AL$4,3,FALSE),0))</f>
      </c>
      <c r="J14" s="80">
        <f>IF(OR($B14="",OR($B14="Total general",$B14="Total Result"),NOT(ISNUMBER($D14))),"",IFERROR(VLOOKUP($F14,$AI$4:$AL$4,4,FALSE),0))</f>
      </c>
      <c r="K14" s="17"/>
      <c r="L14" s="16">
        <f>IF(OR($B14="",NOT(ISNUMBER($D14))),"",IF(OR($B14="Total general",$B14="Total Result"),SUM(L$4:L13),+D14))</f>
      </c>
      <c r="M14" s="82">
        <f>IF(OR($B14="",NOT(ISNUMBER($D14))),"",IF(OR($B14="Total general",$B14="Total Result"),SUM(M$4:M13),+L14*J14))</f>
      </c>
      <c r="N14" s="82">
        <f>IF(OR($B14="",NOT(ISNUMBER($D14))),"",IF(OR($B14="Total general",$B14="Total Result"),SUM(N$4:N13),+M14*0.1))</f>
      </c>
      <c r="O14" s="82"/>
      <c r="P14" s="82"/>
      <c r="Q14" s="82"/>
      <c r="R14" s="82">
        <f>IF(OR($B14="",NOT(ISNUMBER($D14))),"",IF(OR($B14="Total general",$B14="Total Result"),SUM(R$4:R13),SUM(M14:Q14)/12))</f>
      </c>
      <c r="S14" s="83">
        <f>IF(OR($B14="",NOT(ISNUMBER($D14))),"",IF(OR($B14="Total general",$B14="Total Result"),SUM(S$4:S13),SUM(M14:R14)))</f>
      </c>
      <c r="T14" s="82"/>
      <c r="U14" s="82">
        <f>IF(OR($B14="",NOT(ISNUMBER($D14))),"",IF(OR($B14="Total general",$B14="Total Result"),SUM(U$4:U13),(S14)*19%*-1))</f>
      </c>
      <c r="V14" s="82"/>
      <c r="W14" s="83">
        <f>IF(OR($B14="",NOT(ISNUMBER($D14))),"",IF(OR($B14="Total general",$B14="Total Result"),SUM(W$4:W13),+S14+U14))</f>
      </c>
      <c r="X14" s="83"/>
      <c r="Y14" s="83">
        <f>IF(OR($B14="",NOT(ISNUMBER($D14))),"",IF(OR($B14="Total general",$B14="Total Result"),SUM(Y$4:Y13),+W14-X14))</f>
      </c>
      <c r="Z14" s="84">
        <f>IF(OR($B14="",NOT(ISNUMBER($D14))),"",IF(OR($B14="Total general",$B14="Total Result"),SUM(Z$4:Z13),+E14))</f>
      </c>
      <c r="AA14" s="85">
        <f>IF(OR($B14="",NOT(ISNUMBER($D14))),"",IF(OR($B14="Total general",$B14="Total Result"),SUM(AA$4:AA13),+Z14-W14))</f>
      </c>
      <c r="AB14" s="86"/>
      <c r="AC14" s="82">
        <f>IF(OR($B14="",NOT(ISNUMBER($D14))),"",IF(OR($B14="Total general",$B14="Total Result"),SUM(AC$4:AC13),(+M14+N14)))</f>
      </c>
      <c r="AD14" s="82">
        <f>IF(OR($B14="",NOT(ISNUMBER($D14))),"",IF(OR($B14="Total general",$B14="Total Result"),SUM(AD$4:AD13),+AC14*19%))</f>
      </c>
      <c r="AE14" s="82">
        <f>IF(OR($B14="",NOT(ISNUMBER($D14))),"",IF(OR($B14="Total general",$B14="Total Result"),SUM(AE$4:AE13),+AC14-AD14))</f>
      </c>
      <c r="AF14" s="82">
        <f>IF(OR($B14="",NOT(ISNUMBER($D14))),"",IF(OR($B14="Total general",$B14="Total Result"),SUM(AF$4:AF13),+AE14-Z14))</f>
      </c>
    </row>
    <row r="15" spans="1:38" x14ac:dyDescent="0.3">
      <c r="A15" s="80">
        <f>IF(OR($B15="",OR($B15="Total general",$B15="Total Result"),NOT(ISNUMBER($D15))),"",IFERROR(INDEX(Reporte!$A$2:$A$2,MATCH($B15,Reporte!$E$2:$E$2,0))&amp;"",""))</f>
      </c>
      <c r="B15" s="32"/>
      <c r="C15" s="34"/>
      <c r="D15" s="34"/>
      <c r="E15" s="81"/>
      <c r="F15" s="18">
        <f>IF(OR($B15="",OR($B15="Total general",$B15="Total Result"),NOT(ISNUMBER($D15))),"",IFERROR(VLOOKUP($B15,Reporte!$E$2:$F$2,2,FALSE),""))</f>
      </c>
      <c r="G15" s="19">
        <f>IF(OR($B15="",OR($B15="Total general",$B15="Total Result"),NOT(ISNUMBER($D15))),"",IFERROR(VLOOKUP($B15,Reporte!$E$2:$G$2,3,FALSE),""))</f>
      </c>
      <c r="H15" s="80">
        <f>IF(OR($B15="",OR($B15="Total general",$B15="Total Result"),NOT(ISNUMBER($D15))),"",IFERROR(VLOOKUP($F15,$AI$4:$AL$4,2,FALSE),0))</f>
      </c>
      <c r="I15" s="80">
        <f>IF(OR($B15="",OR($B15="Total general",$B15="Total Result"),NOT(ISNUMBER($D15))),"",IFERROR(VLOOKUP($F15,$AI$4:$AL$4,3,FALSE),0))</f>
      </c>
      <c r="J15" s="80">
        <f>IF(OR($B15="",OR($B15="Total general",$B15="Total Result"),NOT(ISNUMBER($D15))),"",IFERROR(VLOOKUP($F15,$AI$4:$AL$4,4,FALSE),0))</f>
      </c>
      <c r="K15" s="17"/>
      <c r="L15" s="16">
        <f>IF(OR($B15="",NOT(ISNUMBER($D15))),"",IF(OR($B15="Total general",$B15="Total Result"),SUM(L$4:L14),+D15))</f>
      </c>
      <c r="M15" s="82">
        <f>IF(OR($B15="",NOT(ISNUMBER($D15))),"",IF(OR($B15="Total general",$B15="Total Result"),SUM(M$4:M14),+L15*J15))</f>
      </c>
      <c r="N15" s="82">
        <f>IF(OR($B15="",NOT(ISNUMBER($D15))),"",IF(OR($B15="Total general",$B15="Total Result"),SUM(N$4:N14),+M15*0.1))</f>
      </c>
      <c r="O15" s="82"/>
      <c r="P15" s="82"/>
      <c r="Q15" s="82"/>
      <c r="R15" s="82">
        <f>IF(OR($B15="",NOT(ISNUMBER($D15))),"",IF(OR($B15="Total general",$B15="Total Result"),SUM(R$4:R14),SUM(M15:Q15)/12))</f>
      </c>
      <c r="S15" s="83">
        <f>IF(OR($B15="",NOT(ISNUMBER($D15))),"",IF(OR($B15="Total general",$B15="Total Result"),SUM(S$4:S14),SUM(M15:R15)))</f>
      </c>
      <c r="T15" s="82"/>
      <c r="U15" s="82">
        <f>IF(OR($B15="",NOT(ISNUMBER($D15))),"",IF(OR($B15="Total general",$B15="Total Result"),SUM(U$4:U14),(S15)*19%*-1))</f>
      </c>
      <c r="V15" s="82"/>
      <c r="W15" s="83">
        <f>IF(OR($B15="",NOT(ISNUMBER($D15))),"",IF(OR($B15="Total general",$B15="Total Result"),SUM(W$4:W14),+S15+U15))</f>
      </c>
      <c r="X15" s="83"/>
      <c r="Y15" s="83">
        <f>IF(OR($B15="",NOT(ISNUMBER($D15))),"",IF(OR($B15="Total general",$B15="Total Result"),SUM(Y$4:Y14),+W15-X15))</f>
      </c>
      <c r="Z15" s="84">
        <f>IF(OR($B15="",NOT(ISNUMBER($D15))),"",IF(OR($B15="Total general",$B15="Total Result"),SUM(Z$4:Z14),+E15))</f>
      </c>
      <c r="AA15" s="85">
        <f>IF(OR($B15="",NOT(ISNUMBER($D15))),"",IF(OR($B15="Total general",$B15="Total Result"),SUM(AA$4:AA14),+Z15-W15))</f>
      </c>
      <c r="AB15" s="86"/>
      <c r="AC15" s="82">
        <f>IF(OR($B15="",NOT(ISNUMBER($D15))),"",IF(OR($B15="Total general",$B15="Total Result"),SUM(AC$4:AC14),(+M15+N15)))</f>
      </c>
      <c r="AD15" s="82">
        <f>IF(OR($B15="",NOT(ISNUMBER($D15))),"",IF(OR($B15="Total general",$B15="Total Result"),SUM(AD$4:AD14),+AC15*19%))</f>
      </c>
      <c r="AE15" s="82">
        <f>IF(OR($B15="",NOT(ISNUMBER($D15))),"",IF(OR($B15="Total general",$B15="Total Result"),SUM(AE$4:AE14),+AC15-AD15))</f>
      </c>
      <c r="AF15" s="82">
        <f>IF(OR($B15="",NOT(ISNUMBER($D15))),"",IF(OR($B15="Total general",$B15="Total Result"),SUM(AF$4:AF14),+AE15-Z15))</f>
      </c>
    </row>
    <row r="16" spans="1:38" x14ac:dyDescent="0.3">
      <c r="A16" s="80">
        <f>IF(OR($B16="",OR($B16="Total general",$B16="Total Result"),NOT(ISNUMBER($D16))),"",IFERROR(INDEX(Reporte!$A$2:$A$2,MATCH($B16,Reporte!$E$2:$E$2,0))&amp;"",""))</f>
      </c>
      <c r="B16" s="32"/>
      <c r="C16" s="34"/>
      <c r="D16" s="34"/>
      <c r="E16" s="81"/>
      <c r="F16" s="18">
        <f>IF(OR($B16="",OR($B16="Total general",$B16="Total Result"),NOT(ISNUMBER($D16))),"",IFERROR(VLOOKUP($B16,Reporte!$E$2:$F$2,2,FALSE),""))</f>
      </c>
      <c r="G16" s="19">
        <f>IF(OR($B16="",OR($B16="Total general",$B16="Total Result"),NOT(ISNUMBER($D16))),"",IFERROR(VLOOKUP($B16,Reporte!$E$2:$G$2,3,FALSE),""))</f>
      </c>
      <c r="H16" s="80">
        <f>IF(OR($B16="",OR($B16="Total general",$B16="Total Result"),NOT(ISNUMBER($D16))),"",IFERROR(VLOOKUP($F16,$AI$4:$AL$4,2,FALSE),0))</f>
      </c>
      <c r="I16" s="80">
        <f>IF(OR($B16="",OR($B16="Total general",$B16="Total Result"),NOT(ISNUMBER($D16))),"",IFERROR(VLOOKUP($F16,$AI$4:$AL$4,3,FALSE),0))</f>
      </c>
      <c r="J16" s="80">
        <f>IF(OR($B16="",OR($B16="Total general",$B16="Total Result"),NOT(ISNUMBER($D16))),"",IFERROR(VLOOKUP($F16,$AI$4:$AL$4,4,FALSE),0))</f>
      </c>
      <c r="K16" s="17"/>
      <c r="L16" s="16">
        <f>IF(OR($B16="",NOT(ISNUMBER($D16))),"",IF(OR($B16="Total general",$B16="Total Result"),SUM(L$4:L15),+D16))</f>
      </c>
      <c r="M16" s="82">
        <f>IF(OR($B16="",NOT(ISNUMBER($D16))),"",IF(OR($B16="Total general",$B16="Total Result"),SUM(M$4:M15),+L16*J16))</f>
      </c>
      <c r="N16" s="82">
        <f>IF(OR($B16="",NOT(ISNUMBER($D16))),"",IF(OR($B16="Total general",$B16="Total Result"),SUM(N$4:N15),+M16*0.1))</f>
      </c>
      <c r="O16" s="82"/>
      <c r="P16" s="82"/>
      <c r="Q16" s="82"/>
      <c r="R16" s="82">
        <f>IF(OR($B16="",NOT(ISNUMBER($D16))),"",IF(OR($B16="Total general",$B16="Total Result"),SUM(R$4:R15),SUM(M16:Q16)/12))</f>
      </c>
      <c r="S16" s="83">
        <f>IF(OR($B16="",NOT(ISNUMBER($D16))),"",IF(OR($B16="Total general",$B16="Total Result"),SUM(S$4:S15),SUM(M16:R16)))</f>
      </c>
      <c r="T16" s="82"/>
      <c r="U16" s="82">
        <f>IF(OR($B16="",NOT(ISNUMBER($D16))),"",IF(OR($B16="Total general",$B16="Total Result"),SUM(U$4:U15),(S16)*19%*-1))</f>
      </c>
      <c r="V16" s="82"/>
      <c r="W16" s="83">
        <f>IF(OR($B16="",NOT(ISNUMBER($D16))),"",IF(OR($B16="Total general",$B16="Total Result"),SUM(W$4:W15),+S16+U16))</f>
      </c>
      <c r="X16" s="83"/>
      <c r="Y16" s="83">
        <f>IF(OR($B16="",NOT(ISNUMBER($D16))),"",IF(OR($B16="Total general",$B16="Total Result"),SUM(Y$4:Y15),+W16-X16))</f>
      </c>
      <c r="Z16" s="84">
        <f>IF(OR($B16="",NOT(ISNUMBER($D16))),"",IF(OR($B16="Total general",$B16="Total Result"),SUM(Z$4:Z15),+E16))</f>
      </c>
      <c r="AA16" s="85">
        <f>IF(OR($B16="",NOT(ISNUMBER($D16))),"",IF(OR($B16="Total general",$B16="Total Result"),SUM(AA$4:AA15),+Z16-W16))</f>
      </c>
      <c r="AB16" s="86"/>
      <c r="AC16" s="82">
        <f>IF(OR($B16="",NOT(ISNUMBER($D16))),"",IF(OR($B16="Total general",$B16="Total Result"),SUM(AC$4:AC15),(+M16+N16)))</f>
      </c>
      <c r="AD16" s="82">
        <f>IF(OR($B16="",NOT(ISNUMBER($D16))),"",IF(OR($B16="Total general",$B16="Total Result"),SUM(AD$4:AD15),+AC16*19%))</f>
      </c>
      <c r="AE16" s="82">
        <f>IF(OR($B16="",NOT(ISNUMBER($D16))),"",IF(OR($B16="Total general",$B16="Total Result"),SUM(AE$4:AE15),+AC16-AD16))</f>
      </c>
      <c r="AF16" s="82">
        <f>IF(OR($B16="",NOT(ISNUMBER($D16))),"",IF(OR($B16="Total general",$B16="Total Result"),SUM(AF$4:AF15),+AE16-Z16))</f>
      </c>
    </row>
    <row r="17" spans="1:38" x14ac:dyDescent="0.3">
      <c r="A17" s="80">
        <f>IF(OR($B17="",OR($B17="Total general",$B17="Total Result"),NOT(ISNUMBER($D17))),"",IFERROR(INDEX(Reporte!$A$2:$A$2,MATCH($B17,Reporte!$E$2:$E$2,0))&amp;"",""))</f>
      </c>
      <c r="B17" s="32"/>
      <c r="C17" s="34"/>
      <c r="D17" s="34"/>
      <c r="E17" s="81"/>
      <c r="F17" s="18">
        <f>IF(OR($B17="",OR($B17="Total general",$B17="Total Result"),NOT(ISNUMBER($D17))),"",IFERROR(VLOOKUP($B17,Reporte!$E$2:$F$2,2,FALSE),""))</f>
      </c>
      <c r="G17" s="19">
        <f>IF(OR($B17="",OR($B17="Total general",$B17="Total Result"),NOT(ISNUMBER($D17))),"",IFERROR(VLOOKUP($B17,Reporte!$E$2:$G$2,3,FALSE),""))</f>
      </c>
      <c r="H17" s="80">
        <f>IF(OR($B17="",OR($B17="Total general",$B17="Total Result"),NOT(ISNUMBER($D17))),"",IFERROR(VLOOKUP($F17,$AI$4:$AL$4,2,FALSE),0))</f>
      </c>
      <c r="I17" s="80">
        <f>IF(OR($B17="",OR($B17="Total general",$B17="Total Result"),NOT(ISNUMBER($D17))),"",IFERROR(VLOOKUP($F17,$AI$4:$AL$4,3,FALSE),0))</f>
      </c>
      <c r="J17" s="80">
        <f>IF(OR($B17="",OR($B17="Total general",$B17="Total Result"),NOT(ISNUMBER($D17))),"",IFERROR(VLOOKUP($F17,$AI$4:$AL$4,4,FALSE),0))</f>
      </c>
      <c r="K17" s="17"/>
      <c r="L17" s="16">
        <f>IF(OR($B17="",NOT(ISNUMBER($D17))),"",IF(OR($B17="Total general",$B17="Total Result"),SUM(L$4:L16),+D17))</f>
      </c>
      <c r="M17" s="82">
        <f>IF(OR($B17="",NOT(ISNUMBER($D17))),"",IF(OR($B17="Total general",$B17="Total Result"),SUM(M$4:M16),+L17*J17))</f>
      </c>
      <c r="N17" s="82">
        <f>IF(OR($B17="",NOT(ISNUMBER($D17))),"",IF(OR($B17="Total general",$B17="Total Result"),SUM(N$4:N16),+M17*0.1))</f>
      </c>
      <c r="O17" s="82"/>
      <c r="P17" s="82"/>
      <c r="Q17" s="82"/>
      <c r="R17" s="82">
        <f>IF(OR($B17="",NOT(ISNUMBER($D17))),"",IF(OR($B17="Total general",$B17="Total Result"),SUM(R$4:R16),SUM(M17:Q17)/12))</f>
      </c>
      <c r="S17" s="83">
        <f>IF(OR($B17="",NOT(ISNUMBER($D17))),"",IF(OR($B17="Total general",$B17="Total Result"),SUM(S$4:S16),SUM(M17:R17)))</f>
      </c>
      <c r="T17" s="82"/>
      <c r="U17" s="82">
        <f>IF(OR($B17="",NOT(ISNUMBER($D17))),"",IF(OR($B17="Total general",$B17="Total Result"),SUM(U$4:U16),(S17)*19%*-1))</f>
      </c>
      <c r="V17" s="82"/>
      <c r="W17" s="83">
        <f>IF(OR($B17="",NOT(ISNUMBER($D17))),"",IF(OR($B17="Total general",$B17="Total Result"),SUM(W$4:W16),+S17+U17))</f>
      </c>
      <c r="X17" s="83"/>
      <c r="Y17" s="83">
        <f>IF(OR($B17="",NOT(ISNUMBER($D17))),"",IF(OR($B17="Total general",$B17="Total Result"),SUM(Y$4:Y16),+W17-X17))</f>
      </c>
      <c r="Z17" s="84">
        <f>IF(OR($B17="",NOT(ISNUMBER($D17))),"",IF(OR($B17="Total general",$B17="Total Result"),SUM(Z$4:Z16),+E17))</f>
      </c>
      <c r="AA17" s="85">
        <f>IF(OR($B17="",NOT(ISNUMBER($D17))),"",IF(OR($B17="Total general",$B17="Total Result"),SUM(AA$4:AA16),+Z17-W17))</f>
      </c>
      <c r="AB17" s="86"/>
      <c r="AC17" s="82">
        <f>IF(OR($B17="",NOT(ISNUMBER($D17))),"",IF(OR($B17="Total general",$B17="Total Result"),SUM(AC$4:AC16),(+M17+N17)))</f>
      </c>
      <c r="AD17" s="82">
        <f>IF(OR($B17="",NOT(ISNUMBER($D17))),"",IF(OR($B17="Total general",$B17="Total Result"),SUM(AD$4:AD16),+AC17*19%))</f>
      </c>
      <c r="AE17" s="82">
        <f>IF(OR($B17="",NOT(ISNUMBER($D17))),"",IF(OR($B17="Total general",$B17="Total Result"),SUM(AE$4:AE16),+AC17-AD17))</f>
      </c>
      <c r="AF17" s="82">
        <f>IF(OR($B17="",NOT(ISNUMBER($D17))),"",IF(OR($B17="Total general",$B17="Total Result"),SUM(AF$4:AF16),+AE17-Z17))</f>
      </c>
    </row>
    <row r="18" spans="1:38" x14ac:dyDescent="0.3">
      <c r="A18" s="80">
        <f>IF(OR($B18="",OR($B18="Total general",$B18="Total Result"),NOT(ISNUMBER($D18))),"",IFERROR(INDEX(Reporte!$A$2:$A$2,MATCH($B18,Reporte!$E$2:$E$2,0))&amp;"",""))</f>
      </c>
      <c r="B18" s="32"/>
      <c r="C18" s="34"/>
      <c r="D18" s="34"/>
      <c r="E18" s="81"/>
      <c r="F18" s="18">
        <f>IF(OR($B18="",OR($B18="Total general",$B18="Total Result"),NOT(ISNUMBER($D18))),"",IFERROR(VLOOKUP($B18,Reporte!$E$2:$F$2,2,FALSE),""))</f>
      </c>
      <c r="G18" s="19">
        <f>IF(OR($B18="",OR($B18="Total general",$B18="Total Result"),NOT(ISNUMBER($D18))),"",IFERROR(VLOOKUP($B18,Reporte!$E$2:$G$2,3,FALSE),""))</f>
      </c>
      <c r="H18" s="80">
        <f>IF(OR($B18="",OR($B18="Total general",$B18="Total Result"),NOT(ISNUMBER($D18))),"",IFERROR(VLOOKUP($F18,$AI$4:$AL$4,2,FALSE),0))</f>
      </c>
      <c r="I18" s="80">
        <f>IF(OR($B18="",OR($B18="Total general",$B18="Total Result"),NOT(ISNUMBER($D18))),"",IFERROR(VLOOKUP($F18,$AI$4:$AL$4,3,FALSE),0))</f>
      </c>
      <c r="J18" s="80">
        <f>IF(OR($B18="",OR($B18="Total general",$B18="Total Result"),NOT(ISNUMBER($D18))),"",IFERROR(VLOOKUP($F18,$AI$4:$AL$4,4,FALSE),0))</f>
      </c>
      <c r="K18" s="17"/>
      <c r="L18" s="16">
        <f>IF(OR($B18="",NOT(ISNUMBER($D18))),"",IF(OR($B18="Total general",$B18="Total Result"),SUM(L$4:L17),+D18))</f>
      </c>
      <c r="M18" s="82">
        <f>IF(OR($B18="",NOT(ISNUMBER($D18))),"",IF(OR($B18="Total general",$B18="Total Result"),SUM(M$4:M17),+L18*J18))</f>
      </c>
      <c r="N18" s="82">
        <f>IF(OR($B18="",NOT(ISNUMBER($D18))),"",IF(OR($B18="Total general",$B18="Total Result"),SUM(N$4:N17),+M18*0.1))</f>
      </c>
      <c r="O18" s="82"/>
      <c r="P18" s="82"/>
      <c r="Q18" s="82"/>
      <c r="R18" s="82">
        <f>IF(OR($B18="",NOT(ISNUMBER($D18))),"",IF(OR($B18="Total general",$B18="Total Result"),SUM(R$4:R17),SUM(M18:Q18)/12))</f>
      </c>
      <c r="S18" s="83">
        <f>IF(OR($B18="",NOT(ISNUMBER($D18))),"",IF(OR($B18="Total general",$B18="Total Result"),SUM(S$4:S17),SUM(M18:R18)))</f>
      </c>
      <c r="T18" s="82"/>
      <c r="U18" s="82">
        <f>IF(OR($B18="",NOT(ISNUMBER($D18))),"",IF(OR($B18="Total general",$B18="Total Result"),SUM(U$4:U17),(S18)*19%*-1))</f>
      </c>
      <c r="V18" s="82"/>
      <c r="W18" s="83">
        <f>IF(OR($B18="",NOT(ISNUMBER($D18))),"",IF(OR($B18="Total general",$B18="Total Result"),SUM(W$4:W17),+S18+U18))</f>
      </c>
      <c r="X18" s="83"/>
      <c r="Y18" s="83">
        <f>IF(OR($B18="",NOT(ISNUMBER($D18))),"",IF(OR($B18="Total general",$B18="Total Result"),SUM(Y$4:Y17),+W18-X18))</f>
      </c>
      <c r="Z18" s="84">
        <f>IF(OR($B18="",NOT(ISNUMBER($D18))),"",IF(OR($B18="Total general",$B18="Total Result"),SUM(Z$4:Z17),+E18))</f>
      </c>
      <c r="AA18" s="85">
        <f>IF(OR($B18="",NOT(ISNUMBER($D18))),"",IF(OR($B18="Total general",$B18="Total Result"),SUM(AA$4:AA17),+Z18-W18))</f>
      </c>
      <c r="AB18" s="86"/>
      <c r="AC18" s="82">
        <f>IF(OR($B18="",NOT(ISNUMBER($D18))),"",IF(OR($B18="Total general",$B18="Total Result"),SUM(AC$4:AC17),(+M18+N18)))</f>
      </c>
      <c r="AD18" s="82">
        <f>IF(OR($B18="",NOT(ISNUMBER($D18))),"",IF(OR($B18="Total general",$B18="Total Result"),SUM(AD$4:AD17),+AC18*19%))</f>
      </c>
      <c r="AE18" s="82">
        <f>IF(OR($B18="",NOT(ISNUMBER($D18))),"",IF(OR($B18="Total general",$B18="Total Result"),SUM(AE$4:AE17),+AC18-AD18))</f>
      </c>
      <c r="AF18" s="82">
        <f>IF(OR($B18="",NOT(ISNUMBER($D18))),"",IF(OR($B18="Total general",$B18="Total Result"),SUM(AF$4:AF17),+AE18-Z18))</f>
      </c>
    </row>
    <row r="19" spans="1:38" x14ac:dyDescent="0.3">
      <c r="A19" s="80">
        <f>IF(OR($B19="",OR($B19="Total general",$B19="Total Result"),NOT(ISNUMBER($D19))),"",IFERROR(INDEX(Reporte!$A$2:$A$2,MATCH($B19,Reporte!$E$2:$E$2,0))&amp;"",""))</f>
      </c>
      <c r="B19" s="32"/>
      <c r="C19" s="34"/>
      <c r="D19" s="34"/>
      <c r="E19" s="81"/>
      <c r="F19" s="18">
        <f>IF(OR($B19="",OR($B19="Total general",$B19="Total Result"),NOT(ISNUMBER($D19))),"",IFERROR(VLOOKUP($B19,Reporte!$E$2:$F$2,2,FALSE),""))</f>
      </c>
      <c r="G19" s="19">
        <f>IF(OR($B19="",OR($B19="Total general",$B19="Total Result"),NOT(ISNUMBER($D19))),"",IFERROR(VLOOKUP($B19,Reporte!$E$2:$G$2,3,FALSE),""))</f>
      </c>
      <c r="H19" s="80">
        <f>IF(OR($B19="",OR($B19="Total general",$B19="Total Result"),NOT(ISNUMBER($D19))),"",IFERROR(VLOOKUP($F19,$AI$4:$AL$4,2,FALSE),0))</f>
      </c>
      <c r="I19" s="80">
        <f>IF(OR($B19="",OR($B19="Total general",$B19="Total Result"),NOT(ISNUMBER($D19))),"",IFERROR(VLOOKUP($F19,$AI$4:$AL$4,3,FALSE),0))</f>
      </c>
      <c r="J19" s="80">
        <f>IF(OR($B19="",OR($B19="Total general",$B19="Total Result"),NOT(ISNUMBER($D19))),"",IFERROR(VLOOKUP($F19,$AI$4:$AL$4,4,FALSE),0))</f>
      </c>
      <c r="K19" s="17"/>
      <c r="L19" s="16">
        <f>IF(OR($B19="",NOT(ISNUMBER($D19))),"",IF(OR($B19="Total general",$B19="Total Result"),SUM(L$4:L18),+D19))</f>
      </c>
      <c r="M19" s="82">
        <f>IF(OR($B19="",NOT(ISNUMBER($D19))),"",IF(OR($B19="Total general",$B19="Total Result"),SUM(M$4:M18),+L19*J19))</f>
      </c>
      <c r="N19" s="82">
        <f>IF(OR($B19="",NOT(ISNUMBER($D19))),"",IF(OR($B19="Total general",$B19="Total Result"),SUM(N$4:N18),+M19*0.1))</f>
      </c>
      <c r="O19" s="82"/>
      <c r="P19" s="82"/>
      <c r="Q19" s="82"/>
      <c r="R19" s="82">
        <f>IF(OR($B19="",NOT(ISNUMBER($D19))),"",IF(OR($B19="Total general",$B19="Total Result"),SUM(R$4:R18),SUM(M19:Q19)/12))</f>
      </c>
      <c r="S19" s="83">
        <f>IF(OR($B19="",NOT(ISNUMBER($D19))),"",IF(OR($B19="Total general",$B19="Total Result"),SUM(S$4:S18),SUM(M19:R19)))</f>
      </c>
      <c r="T19" s="82"/>
      <c r="U19" s="82">
        <f>IF(OR($B19="",NOT(ISNUMBER($D19))),"",IF(OR($B19="Total general",$B19="Total Result"),SUM(U$4:U18),(S19)*19%*-1))</f>
      </c>
      <c r="V19" s="82"/>
      <c r="W19" s="83">
        <f>IF(OR($B19="",NOT(ISNUMBER($D19))),"",IF(OR($B19="Total general",$B19="Total Result"),SUM(W$4:W18),+S19+U19))</f>
      </c>
      <c r="X19" s="83"/>
      <c r="Y19" s="83">
        <f>IF(OR($B19="",NOT(ISNUMBER($D19))),"",IF(OR($B19="Total general",$B19="Total Result"),SUM(Y$4:Y18),+W19-X19))</f>
      </c>
      <c r="Z19" s="84">
        <f>IF(OR($B19="",NOT(ISNUMBER($D19))),"",IF(OR($B19="Total general",$B19="Total Result"),SUM(Z$4:Z18),+E19))</f>
      </c>
      <c r="AA19" s="85">
        <f>IF(OR($B19="",NOT(ISNUMBER($D19))),"",IF(OR($B19="Total general",$B19="Total Result"),SUM(AA$4:AA18),+Z19-W19))</f>
      </c>
      <c r="AB19" s="86"/>
      <c r="AC19" s="82">
        <f>IF(OR($B19="",NOT(ISNUMBER($D19))),"",IF(OR($B19="Total general",$B19="Total Result"),SUM(AC$4:AC18),(+M19+N19)))</f>
      </c>
      <c r="AD19" s="82">
        <f>IF(OR($B19="",NOT(ISNUMBER($D19))),"",IF(OR($B19="Total general",$B19="Total Result"),SUM(AD$4:AD18),+AC19*19%))</f>
      </c>
      <c r="AE19" s="82">
        <f>IF(OR($B19="",NOT(ISNUMBER($D19))),"",IF(OR($B19="Total general",$B19="Total Result"),SUM(AE$4:AE18),+AC19-AD19))</f>
      </c>
      <c r="AF19" s="82">
        <f>IF(OR($B19="",NOT(ISNUMBER($D19))),"",IF(OR($B19="Total general",$B19="Total Result"),SUM(AF$4:AF18),+AE19-Z19))</f>
      </c>
    </row>
    <row r="20" spans="1:38" x14ac:dyDescent="0.3">
      <c r="A20" s="80">
        <f>IF(OR($B20="",OR($B20="Total general",$B20="Total Result"),NOT(ISNUMBER($D20))),"",IFERROR(INDEX(Reporte!$A$2:$A$2,MATCH($B20,Reporte!$E$2:$E$2,0))&amp;"",""))</f>
      </c>
      <c r="B20" s="32"/>
      <c r="C20" s="34"/>
      <c r="D20" s="34"/>
      <c r="E20" s="81"/>
      <c r="F20" s="18">
        <f>IF(OR($B20="",OR($B20="Total general",$B20="Total Result"),NOT(ISNUMBER($D20))),"",IFERROR(VLOOKUP($B20,Reporte!$E$2:$F$2,2,FALSE),""))</f>
      </c>
      <c r="G20" s="19">
        <f>IF(OR($B20="",OR($B20="Total general",$B20="Total Result"),NOT(ISNUMBER($D20))),"",IFERROR(VLOOKUP($B20,Reporte!$E$2:$G$2,3,FALSE),""))</f>
      </c>
      <c r="H20" s="80">
        <f>IF(OR($B20="",OR($B20="Total general",$B20="Total Result"),NOT(ISNUMBER($D20))),"",IFERROR(VLOOKUP($F20,$AI$4:$AL$4,2,FALSE),0))</f>
      </c>
      <c r="I20" s="80">
        <f>IF(OR($B20="",OR($B20="Total general",$B20="Total Result"),NOT(ISNUMBER($D20))),"",IFERROR(VLOOKUP($F20,$AI$4:$AL$4,3,FALSE),0))</f>
      </c>
      <c r="J20" s="80">
        <f>IF(OR($B20="",OR($B20="Total general",$B20="Total Result"),NOT(ISNUMBER($D20))),"",IFERROR(VLOOKUP($F20,$AI$4:$AL$4,4,FALSE),0))</f>
      </c>
      <c r="K20" s="17"/>
      <c r="L20" s="16">
        <f>IF(OR($B20="",NOT(ISNUMBER($D20))),"",IF(OR($B20="Total general",$B20="Total Result"),SUM(L$4:L19),+D20))</f>
      </c>
      <c r="M20" s="82">
        <f>IF(OR($B20="",NOT(ISNUMBER($D20))),"",IF(OR($B20="Total general",$B20="Total Result"),SUM(M$4:M19),+L20*J20))</f>
      </c>
      <c r="N20" s="82">
        <f>IF(OR($B20="",NOT(ISNUMBER($D20))),"",IF(OR($B20="Total general",$B20="Total Result"),SUM(N$4:N19),+M20*0.1))</f>
      </c>
      <c r="O20" s="82"/>
      <c r="P20" s="82"/>
      <c r="Q20" s="82"/>
      <c r="R20" s="82">
        <f>IF(OR($B20="",NOT(ISNUMBER($D20))),"",IF(OR($B20="Total general",$B20="Total Result"),SUM(R$4:R19),SUM(M20:Q20)/12))</f>
      </c>
      <c r="S20" s="83">
        <f>IF(OR($B20="",NOT(ISNUMBER($D20))),"",IF(OR($B20="Total general",$B20="Total Result"),SUM(S$4:S19),SUM(M20:R20)))</f>
      </c>
      <c r="T20" s="82"/>
      <c r="U20" s="82">
        <f>IF(OR($B20="",NOT(ISNUMBER($D20))),"",IF(OR($B20="Total general",$B20="Total Result"),SUM(U$4:U19),(S20)*19%*-1))</f>
      </c>
      <c r="V20" s="82"/>
      <c r="W20" s="83">
        <f>IF(OR($B20="",NOT(ISNUMBER($D20))),"",IF(OR($B20="Total general",$B20="Total Result"),SUM(W$4:W19),+S20+U20))</f>
      </c>
      <c r="X20" s="83"/>
      <c r="Y20" s="83">
        <f>IF(OR($B20="",NOT(ISNUMBER($D20))),"",IF(OR($B20="Total general",$B20="Total Result"),SUM(Y$4:Y19),+W20-X20))</f>
      </c>
      <c r="Z20" s="84">
        <f>IF(OR($B20="",NOT(ISNUMBER($D20))),"",IF(OR($B20="Total general",$B20="Total Result"),SUM(Z$4:Z19),+E20))</f>
      </c>
      <c r="AA20" s="85">
        <f>IF(OR($B20="",NOT(ISNUMBER($D20))),"",IF(OR($B20="Total general",$B20="Total Result"),SUM(AA$4:AA19),+Z20-W20))</f>
      </c>
      <c r="AB20" s="86"/>
      <c r="AC20" s="82">
        <f>IF(OR($B20="",NOT(ISNUMBER($D20))),"",IF(OR($B20="Total general",$B20="Total Result"),SUM(AC$4:AC19),(+M20+N20)))</f>
      </c>
      <c r="AD20" s="82">
        <f>IF(OR($B20="",NOT(ISNUMBER($D20))),"",IF(OR($B20="Total general",$B20="Total Result"),SUM(AD$4:AD19),+AC20*19%))</f>
      </c>
      <c r="AE20" s="82">
        <f>IF(OR($B20="",NOT(ISNUMBER($D20))),"",IF(OR($B20="Total general",$B20="Total Result"),SUM(AE$4:AE19),+AC20-AD20))</f>
      </c>
      <c r="AF20" s="82">
        <f>IF(OR($B20="",NOT(ISNUMBER($D20))),"",IF(OR($B20="Total general",$B20="Total Result"),SUM(AF$4:AF19),+AE20-Z20))</f>
      </c>
    </row>
    <row r="21" spans="1:38" x14ac:dyDescent="0.3">
      <c r="A21" s="80">
        <f>IF(OR($B21="",OR($B21="Total general",$B21="Total Result"),NOT(ISNUMBER($D21))),"",IFERROR(INDEX(Reporte!$A$2:$A$2,MATCH($B21,Reporte!$E$2:$E$2,0))&amp;"",""))</f>
      </c>
      <c r="B21" s="32"/>
      <c r="C21" s="34"/>
      <c r="D21" s="34"/>
      <c r="E21" s="81"/>
      <c r="F21" s="18">
        <f>IF(OR($B21="",OR($B21="Total general",$B21="Total Result"),NOT(ISNUMBER($D21))),"",IFERROR(VLOOKUP($B21,Reporte!$E$2:$F$2,2,FALSE),""))</f>
      </c>
      <c r="G21" s="19">
        <f>IF(OR($B21="",OR($B21="Total general",$B21="Total Result"),NOT(ISNUMBER($D21))),"",IFERROR(VLOOKUP($B21,Reporte!$E$2:$G$2,3,FALSE),""))</f>
      </c>
      <c r="H21" s="80">
        <f>IF(OR($B21="",OR($B21="Total general",$B21="Total Result"),NOT(ISNUMBER($D21))),"",IFERROR(VLOOKUP($F21,$AI$4:$AL$4,2,FALSE),0))</f>
      </c>
      <c r="I21" s="80">
        <f>IF(OR($B21="",OR($B21="Total general",$B21="Total Result"),NOT(ISNUMBER($D21))),"",IFERROR(VLOOKUP($F21,$AI$4:$AL$4,3,FALSE),0))</f>
      </c>
      <c r="J21" s="80">
        <f>IF(OR($B21="",OR($B21="Total general",$B21="Total Result"),NOT(ISNUMBER($D21))),"",IFERROR(VLOOKUP($F21,$AI$4:$AL$4,4,FALSE),0))</f>
      </c>
      <c r="K21" s="17"/>
      <c r="L21" s="16">
        <f>IF(OR($B21="",NOT(ISNUMBER($D21))),"",IF(OR($B21="Total general",$B21="Total Result"),SUM(L$4:L20),+D21))</f>
      </c>
      <c r="M21" s="82">
        <f>IF(OR($B21="",NOT(ISNUMBER($D21))),"",IF(OR($B21="Total general",$B21="Total Result"),SUM(M$4:M20),+L21*J21))</f>
      </c>
      <c r="N21" s="82">
        <f>IF(OR($B21="",NOT(ISNUMBER($D21))),"",IF(OR($B21="Total general",$B21="Total Result"),SUM(N$4:N20),+M21*0.1))</f>
      </c>
      <c r="O21" s="82"/>
      <c r="P21" s="82"/>
      <c r="Q21" s="82"/>
      <c r="R21" s="82">
        <f>IF(OR($B21="",NOT(ISNUMBER($D21))),"",IF(OR($B21="Total general",$B21="Total Result"),SUM(R$4:R20),SUM(M21:Q21)/12))</f>
      </c>
      <c r="S21" s="83">
        <f>IF(OR($B21="",NOT(ISNUMBER($D21))),"",IF(OR($B21="Total general",$B21="Total Result"),SUM(S$4:S20),SUM(M21:R21)))</f>
      </c>
      <c r="T21" s="82"/>
      <c r="U21" s="82">
        <f>IF(OR($B21="",NOT(ISNUMBER($D21))),"",IF(OR($B21="Total general",$B21="Total Result"),SUM(U$4:U20),(S21)*19%*-1))</f>
      </c>
      <c r="V21" s="82"/>
      <c r="W21" s="83">
        <f>IF(OR($B21="",NOT(ISNUMBER($D21))),"",IF(OR($B21="Total general",$B21="Total Result"),SUM(W$4:W20),+S21+U21))</f>
      </c>
      <c r="X21" s="83"/>
      <c r="Y21" s="83">
        <f>IF(OR($B21="",NOT(ISNUMBER($D21))),"",IF(OR($B21="Total general",$B21="Total Result"),SUM(Y$4:Y20),+W21-X21))</f>
      </c>
      <c r="Z21" s="84">
        <f>IF(OR($B21="",NOT(ISNUMBER($D21))),"",IF(OR($B21="Total general",$B21="Total Result"),SUM(Z$4:Z20),+E21))</f>
      </c>
      <c r="AA21" s="85">
        <f>IF(OR($B21="",NOT(ISNUMBER($D21))),"",IF(OR($B21="Total general",$B21="Total Result"),SUM(AA$4:AA20),+Z21-W21))</f>
      </c>
      <c r="AB21" s="86"/>
      <c r="AC21" s="82">
        <f>IF(OR($B21="",NOT(ISNUMBER($D21))),"",IF(OR($B21="Total general",$B21="Total Result"),SUM(AC$4:AC20),(+M21+N21)))</f>
      </c>
      <c r="AD21" s="82">
        <f>IF(OR($B21="",NOT(ISNUMBER($D21))),"",IF(OR($B21="Total general",$B21="Total Result"),SUM(AD$4:AD20),+AC21*19%))</f>
      </c>
      <c r="AE21" s="82">
        <f>IF(OR($B21="",NOT(ISNUMBER($D21))),"",IF(OR($B21="Total general",$B21="Total Result"),SUM(AE$4:AE20),+AC21-AD21))</f>
      </c>
      <c r="AF21" s="82">
        <f>IF(OR($B21="",NOT(ISNUMBER($D21))),"",IF(OR($B21="Total general",$B21="Total Result"),SUM(AF$4:AF20),+AE21-Z21))</f>
      </c>
    </row>
    <row r="22" spans="1:38" x14ac:dyDescent="0.3">
      <c r="A22" s="80">
        <f>IF(OR($B22="",OR($B22="Total general",$B22="Total Result"),NOT(ISNUMBER($D22))),"",IFERROR(INDEX(Reporte!$A$2:$A$2,MATCH($B22,Reporte!$E$2:$E$2,0))&amp;"",""))</f>
      </c>
      <c r="B22" s="32"/>
      <c r="C22" s="34"/>
      <c r="D22" s="34"/>
      <c r="E22" s="81"/>
      <c r="F22" s="18">
        <f>IF(OR($B22="",OR($B22="Total general",$B22="Total Result"),NOT(ISNUMBER($D22))),"",IFERROR(VLOOKUP($B22,Reporte!$E$2:$F$2,2,FALSE),""))</f>
      </c>
      <c r="G22" s="19">
        <f>IF(OR($B22="",OR($B22="Total general",$B22="Total Result"),NOT(ISNUMBER($D22))),"",IFERROR(VLOOKUP($B22,Reporte!$E$2:$G$2,3,FALSE),""))</f>
      </c>
      <c r="H22" s="80">
        <f>IF(OR($B22="",OR($B22="Total general",$B22="Total Result"),NOT(ISNUMBER($D22))),"",IFERROR(VLOOKUP($F22,$AI$4:$AL$4,2,FALSE),0))</f>
      </c>
      <c r="I22" s="80">
        <f>IF(OR($B22="",OR($B22="Total general",$B22="Total Result"),NOT(ISNUMBER($D22))),"",IFERROR(VLOOKUP($F22,$AI$4:$AL$4,3,FALSE),0))</f>
      </c>
      <c r="J22" s="80">
        <f>IF(OR($B22="",OR($B22="Total general",$B22="Total Result"),NOT(ISNUMBER($D22))),"",IFERROR(VLOOKUP($F22,$AI$4:$AL$4,4,FALSE),0))</f>
      </c>
      <c r="K22" s="17"/>
      <c r="L22" s="16">
        <f>IF(OR($B22="",NOT(ISNUMBER($D22))),"",IF(OR($B22="Total general",$B22="Total Result"),SUM(L$4:L21),+D22))</f>
      </c>
      <c r="M22" s="82">
        <f>IF(OR($B22="",NOT(ISNUMBER($D22))),"",IF(OR($B22="Total general",$B22="Total Result"),SUM(M$4:M21),+L22*J22))</f>
      </c>
      <c r="N22" s="82">
        <f>IF(OR($B22="",NOT(ISNUMBER($D22))),"",IF(OR($B22="Total general",$B22="Total Result"),SUM(N$4:N21),+M22*0.1))</f>
      </c>
      <c r="O22" s="82"/>
      <c r="P22" s="82"/>
      <c r="Q22" s="82"/>
      <c r="R22" s="82">
        <f>IF(OR($B22="",NOT(ISNUMBER($D22))),"",IF(OR($B22="Total general",$B22="Total Result"),SUM(R$4:R21),SUM(M22:Q22)/12))</f>
      </c>
      <c r="S22" s="83">
        <f>IF(OR($B22="",NOT(ISNUMBER($D22))),"",IF(OR($B22="Total general",$B22="Total Result"),SUM(S$4:S21),SUM(M22:R22)))</f>
      </c>
      <c r="T22" s="82"/>
      <c r="U22" s="82">
        <f>IF(OR($B22="",NOT(ISNUMBER($D22))),"",IF(OR($B22="Total general",$B22="Total Result"),SUM(U$4:U21),(S22)*19%*-1))</f>
      </c>
      <c r="V22" s="82"/>
      <c r="W22" s="83">
        <f>IF(OR($B22="",NOT(ISNUMBER($D22))),"",IF(OR($B22="Total general",$B22="Total Result"),SUM(W$4:W21),+S22+U22))</f>
      </c>
      <c r="X22" s="83"/>
      <c r="Y22" s="83">
        <f>IF(OR($B22="",NOT(ISNUMBER($D22))),"",IF(OR($B22="Total general",$B22="Total Result"),SUM(Y$4:Y21),+W22-X22))</f>
      </c>
      <c r="Z22" s="84">
        <f>IF(OR($B22="",NOT(ISNUMBER($D22))),"",IF(OR($B22="Total general",$B22="Total Result"),SUM(Z$4:Z21),+E22))</f>
      </c>
      <c r="AA22" s="85">
        <f>IF(OR($B22="",NOT(ISNUMBER($D22))),"",IF(OR($B22="Total general",$B22="Total Result"),SUM(AA$4:AA21),+Z22-W22))</f>
      </c>
      <c r="AB22" s="86"/>
      <c r="AC22" s="82">
        <f>IF(OR($B22="",NOT(ISNUMBER($D22))),"",IF(OR($B22="Total general",$B22="Total Result"),SUM(AC$4:AC21),(+M22+N22)))</f>
      </c>
      <c r="AD22" s="82">
        <f>IF(OR($B22="",NOT(ISNUMBER($D22))),"",IF(OR($B22="Total general",$B22="Total Result"),SUM(AD$4:AD21),+AC22*19%))</f>
      </c>
      <c r="AE22" s="82">
        <f>IF(OR($B22="",NOT(ISNUMBER($D22))),"",IF(OR($B22="Total general",$B22="Total Result"),SUM(AE$4:AE21),+AC22-AD22))</f>
      </c>
      <c r="AF22" s="82">
        <f>IF(OR($B22="",NOT(ISNUMBER($D22))),"",IF(OR($B22="Total general",$B22="Total Result"),SUM(AF$4:AF21),+AE22-Z22))</f>
      </c>
    </row>
    <row r="23" spans="1:38" x14ac:dyDescent="0.3">
      <c r="A23" s="80">
        <f>IF(OR($B23="",OR($B23="Total general",$B23="Total Result"),NOT(ISNUMBER($D23))),"",IFERROR(INDEX(Reporte!$A$2:$A$2,MATCH($B23,Reporte!$E$2:$E$2,0))&amp;"",""))</f>
      </c>
      <c r="B23" s="32"/>
      <c r="C23" s="34"/>
      <c r="D23" s="34"/>
      <c r="E23" s="81"/>
      <c r="F23" s="18">
        <f>IF(OR($B23="",OR($B23="Total general",$B23="Total Result"),NOT(ISNUMBER($D23))),"",IFERROR(VLOOKUP($B23,Reporte!$E$2:$F$2,2,FALSE),""))</f>
      </c>
      <c r="G23" s="19">
        <f>IF(OR($B23="",OR($B23="Total general",$B23="Total Result"),NOT(ISNUMBER($D23))),"",IFERROR(VLOOKUP($B23,Reporte!$E$2:$G$2,3,FALSE),""))</f>
      </c>
      <c r="H23" s="80">
        <f>IF(OR($B23="",OR($B23="Total general",$B23="Total Result"),NOT(ISNUMBER($D23))),"",IFERROR(VLOOKUP($F23,$AI$4:$AL$4,2,FALSE),0))</f>
      </c>
      <c r="I23" s="80">
        <f>IF(OR($B23="",OR($B23="Total general",$B23="Total Result"),NOT(ISNUMBER($D23))),"",IFERROR(VLOOKUP($F23,$AI$4:$AL$4,3,FALSE),0))</f>
      </c>
      <c r="J23" s="80">
        <f>IF(OR($B23="",OR($B23="Total general",$B23="Total Result"),NOT(ISNUMBER($D23))),"",IFERROR(VLOOKUP($F23,$AI$4:$AL$4,4,FALSE),0))</f>
      </c>
      <c r="K23" s="17"/>
      <c r="L23" s="16">
        <f>IF(OR($B23="",NOT(ISNUMBER($D23))),"",IF(OR($B23="Total general",$B23="Total Result"),SUM(L$4:L22),+D23))</f>
      </c>
      <c r="M23" s="82">
        <f>IF(OR($B23="",NOT(ISNUMBER($D23))),"",IF(OR($B23="Total general",$B23="Total Result"),SUM(M$4:M22),+L23*J23))</f>
      </c>
      <c r="N23" s="82">
        <f>IF(OR($B23="",NOT(ISNUMBER($D23))),"",IF(OR($B23="Total general",$B23="Total Result"),SUM(N$4:N22),+M23*0.1))</f>
      </c>
      <c r="O23" s="82"/>
      <c r="P23" s="82"/>
      <c r="Q23" s="82"/>
      <c r="R23" s="82">
        <f>IF(OR($B23="",NOT(ISNUMBER($D23))),"",IF(OR($B23="Total general",$B23="Total Result"),SUM(R$4:R22),SUM(M23:Q23)/12))</f>
      </c>
      <c r="S23" s="83">
        <f>IF(OR($B23="",NOT(ISNUMBER($D23))),"",IF(OR($B23="Total general",$B23="Total Result"),SUM(S$4:S22),SUM(M23:R23)))</f>
      </c>
      <c r="T23" s="82"/>
      <c r="U23" s="82">
        <f>IF(OR($B23="",NOT(ISNUMBER($D23))),"",IF(OR($B23="Total general",$B23="Total Result"),SUM(U$4:U22),(S23)*19%*-1))</f>
      </c>
      <c r="V23" s="82"/>
      <c r="W23" s="83">
        <f>IF(OR($B23="",NOT(ISNUMBER($D23))),"",IF(OR($B23="Total general",$B23="Total Result"),SUM(W$4:W22),+S23+U23))</f>
      </c>
      <c r="X23" s="83"/>
      <c r="Y23" s="83">
        <f>IF(OR($B23="",NOT(ISNUMBER($D23))),"",IF(OR($B23="Total general",$B23="Total Result"),SUM(Y$4:Y22),+W23-X23))</f>
      </c>
      <c r="Z23" s="84">
        <f>IF(OR($B23="",NOT(ISNUMBER($D23))),"",IF(OR($B23="Total general",$B23="Total Result"),SUM(Z$4:Z22),+E23))</f>
      </c>
      <c r="AA23" s="85">
        <f>IF(OR($B23="",NOT(ISNUMBER($D23))),"",IF(OR($B23="Total general",$B23="Total Result"),SUM(AA$4:AA22),+Z23-W23))</f>
      </c>
      <c r="AB23" s="86"/>
      <c r="AC23" s="82">
        <f>IF(OR($B23="",NOT(ISNUMBER($D23))),"",IF(OR($B23="Total general",$B23="Total Result"),SUM(AC$4:AC22),(+M23+N23)))</f>
      </c>
      <c r="AD23" s="82">
        <f>IF(OR($B23="",NOT(ISNUMBER($D23))),"",IF(OR($B23="Total general",$B23="Total Result"),SUM(AD$4:AD22),+AC23*19%))</f>
      </c>
      <c r="AE23" s="82">
        <f>IF(OR($B23="",NOT(ISNUMBER($D23))),"",IF(OR($B23="Total general",$B23="Total Result"),SUM(AE$4:AE22),+AC23-AD23))</f>
      </c>
      <c r="AF23" s="82">
        <f>IF(OR($B23="",NOT(ISNUMBER($D23))),"",IF(OR($B23="Total general",$B23="Total Result"),SUM(AF$4:AF22),+AE23-Z23))</f>
      </c>
    </row>
    <row r="24" spans="1:38" x14ac:dyDescent="0.3">
      <c r="A24" s="80">
        <f>IF(OR($B24="",OR($B24="Total general",$B24="Total Result"),NOT(ISNUMBER($D24))),"",IFERROR(INDEX(Reporte!$A$2:$A$2,MATCH($B24,Reporte!$E$2:$E$2,0))&amp;"",""))</f>
      </c>
      <c r="B24" s="32"/>
      <c r="C24" s="34"/>
      <c r="D24" s="34"/>
      <c r="E24" s="81"/>
      <c r="F24" s="18">
        <f>IF(OR($B24="",OR($B24="Total general",$B24="Total Result"),NOT(ISNUMBER($D24))),"",IFERROR(VLOOKUP($B24,Reporte!$E$2:$F$2,2,FALSE),""))</f>
      </c>
      <c r="G24" s="19">
        <f>IF(OR($B24="",OR($B24="Total general",$B24="Total Result"),NOT(ISNUMBER($D24))),"",IFERROR(VLOOKUP($B24,Reporte!$E$2:$G$2,3,FALSE),""))</f>
      </c>
      <c r="H24" s="80">
        <f>IF(OR($B24="",OR($B24="Total general",$B24="Total Result"),NOT(ISNUMBER($D24))),"",IFERROR(VLOOKUP($F24,$AI$4:$AL$4,2,FALSE),0))</f>
      </c>
      <c r="I24" s="80">
        <f>IF(OR($B24="",OR($B24="Total general",$B24="Total Result"),NOT(ISNUMBER($D24))),"",IFERROR(VLOOKUP($F24,$AI$4:$AL$4,3,FALSE),0))</f>
      </c>
      <c r="J24" s="80">
        <f>IF(OR($B24="",OR($B24="Total general",$B24="Total Result"),NOT(ISNUMBER($D24))),"",IFERROR(VLOOKUP($F24,$AI$4:$AL$4,4,FALSE),0))</f>
      </c>
      <c r="K24" s="17"/>
      <c r="L24" s="16">
        <f>IF(OR($B24="",NOT(ISNUMBER($D24))),"",IF(OR($B24="Total general",$B24="Total Result"),SUM(L$4:L23),+D24))</f>
      </c>
      <c r="M24" s="82">
        <f>IF(OR($B24="",NOT(ISNUMBER($D24))),"",IF(OR($B24="Total general",$B24="Total Result"),SUM(M$4:M23),+L24*J24))</f>
      </c>
      <c r="N24" s="82">
        <f>IF(OR($B24="",NOT(ISNUMBER($D24))),"",IF(OR($B24="Total general",$B24="Total Result"),SUM(N$4:N23),+M24*0.1))</f>
      </c>
      <c r="O24" s="82"/>
      <c r="P24" s="82"/>
      <c r="Q24" s="82"/>
      <c r="R24" s="82">
        <f>IF(OR($B24="",NOT(ISNUMBER($D24))),"",IF(OR($B24="Total general",$B24="Total Result"),SUM(R$4:R23),SUM(M24:Q24)/12))</f>
      </c>
      <c r="S24" s="83">
        <f>IF(OR($B24="",NOT(ISNUMBER($D24))),"",IF(OR($B24="Total general",$B24="Total Result"),SUM(S$4:S23),SUM(M24:R24)))</f>
      </c>
      <c r="T24" s="82"/>
      <c r="U24" s="82">
        <f>IF(OR($B24="",NOT(ISNUMBER($D24))),"",IF(OR($B24="Total general",$B24="Total Result"),SUM(U$4:U23),(S24)*19%*-1))</f>
      </c>
      <c r="V24" s="82"/>
      <c r="W24" s="83">
        <f>IF(OR($B24="",NOT(ISNUMBER($D24))),"",IF(OR($B24="Total general",$B24="Total Result"),SUM(W$4:W23),+S24+U24))</f>
      </c>
      <c r="X24" s="83"/>
      <c r="Y24" s="83">
        <f>IF(OR($B24="",NOT(ISNUMBER($D24))),"",IF(OR($B24="Total general",$B24="Total Result"),SUM(Y$4:Y23),+W24-X24))</f>
      </c>
      <c r="Z24" s="84">
        <f>IF(OR($B24="",NOT(ISNUMBER($D24))),"",IF(OR($B24="Total general",$B24="Total Result"),SUM(Z$4:Z23),+E24))</f>
      </c>
      <c r="AA24" s="85">
        <f>IF(OR($B24="",NOT(ISNUMBER($D24))),"",IF(OR($B24="Total general",$B24="Total Result"),SUM(AA$4:AA23),+Z24-W24))</f>
      </c>
      <c r="AB24" s="86"/>
      <c r="AC24" s="82">
        <f>IF(OR($B24="",NOT(ISNUMBER($D24))),"",IF(OR($B24="Total general",$B24="Total Result"),SUM(AC$4:AC23),(+M24+N24)))</f>
      </c>
      <c r="AD24" s="82">
        <f>IF(OR($B24="",NOT(ISNUMBER($D24))),"",IF(OR($B24="Total general",$B24="Total Result"),SUM(AD$4:AD23),+AC24*19%))</f>
      </c>
      <c r="AE24" s="82">
        <f>IF(OR($B24="",NOT(ISNUMBER($D24))),"",IF(OR($B24="Total general",$B24="Total Result"),SUM(AE$4:AE23),+AC24-AD24))</f>
      </c>
      <c r="AF24" s="82">
        <f>IF(OR($B24="",NOT(ISNUMBER($D24))),"",IF(OR($B24="Total general",$B24="Total Result"),SUM(AF$4:AF23),+AE24-Z24))</f>
      </c>
    </row>
    <row r="25" spans="1:38" x14ac:dyDescent="0.3">
      <c r="A25" s="80">
        <f>IF(OR($B25="",OR($B25="Total general",$B25="Total Result"),NOT(ISNUMBER($D25))),"",IFERROR(INDEX(Reporte!$A$2:$A$2,MATCH($B25,Reporte!$E$2:$E$2,0))&amp;"",""))</f>
      </c>
      <c r="B25" s="32"/>
      <c r="C25" s="34"/>
      <c r="D25" s="34"/>
      <c r="E25" s="81"/>
      <c r="F25" s="18">
        <f>IF(OR($B25="",OR($B25="Total general",$B25="Total Result"),NOT(ISNUMBER($D25))),"",IFERROR(VLOOKUP($B25,Reporte!$E$2:$F$2,2,FALSE),""))</f>
      </c>
      <c r="G25" s="19">
        <f>IF(OR($B25="",OR($B25="Total general",$B25="Total Result"),NOT(ISNUMBER($D25))),"",IFERROR(VLOOKUP($B25,Reporte!$E$2:$G$2,3,FALSE),""))</f>
      </c>
      <c r="H25" s="80">
        <f>IF(OR($B25="",OR($B25="Total general",$B25="Total Result"),NOT(ISNUMBER($D25))),"",IFERROR(VLOOKUP($F25,$AI$4:$AL$4,2,FALSE),0))</f>
      </c>
      <c r="I25" s="80">
        <f>IF(OR($B25="",OR($B25="Total general",$B25="Total Result"),NOT(ISNUMBER($D25))),"",IFERROR(VLOOKUP($F25,$AI$4:$AL$4,3,FALSE),0))</f>
      </c>
      <c r="J25" s="80">
        <f>IF(OR($B25="",OR($B25="Total general",$B25="Total Result"),NOT(ISNUMBER($D25))),"",IFERROR(VLOOKUP($F25,$AI$4:$AL$4,4,FALSE),0))</f>
      </c>
      <c r="K25" s="17"/>
      <c r="L25" s="16">
        <f>IF(OR($B25="",NOT(ISNUMBER($D25))),"",IF(OR($B25="Total general",$B25="Total Result"),SUM(L$4:L24),+D25))</f>
      </c>
      <c r="M25" s="82">
        <f>IF(OR($B25="",NOT(ISNUMBER($D25))),"",IF(OR($B25="Total general",$B25="Total Result"),SUM(M$4:M24),+L25*J25))</f>
      </c>
      <c r="N25" s="82">
        <f>IF(OR($B25="",NOT(ISNUMBER($D25))),"",IF(OR($B25="Total general",$B25="Total Result"),SUM(N$4:N24),+M25*0.1))</f>
      </c>
      <c r="O25" s="82"/>
      <c r="P25" s="82"/>
      <c r="Q25" s="82"/>
      <c r="R25" s="82">
        <f>IF(OR($B25="",NOT(ISNUMBER($D25))),"",IF(OR($B25="Total general",$B25="Total Result"),SUM(R$4:R24),SUM(M25:Q25)/12))</f>
      </c>
      <c r="S25" s="83">
        <f>IF(OR($B25="",NOT(ISNUMBER($D25))),"",IF(OR($B25="Total general",$B25="Total Result"),SUM(S$4:S24),SUM(M25:R25)))</f>
      </c>
      <c r="T25" s="82"/>
      <c r="U25" s="82">
        <f>IF(OR($B25="",NOT(ISNUMBER($D25))),"",IF(OR($B25="Total general",$B25="Total Result"),SUM(U$4:U24),(S25)*19%*-1))</f>
      </c>
      <c r="V25" s="82"/>
      <c r="W25" s="83">
        <f>IF(OR($B25="",NOT(ISNUMBER($D25))),"",IF(OR($B25="Total general",$B25="Total Result"),SUM(W$4:W24),+S25+U25))</f>
      </c>
      <c r="X25" s="83"/>
      <c r="Y25" s="83">
        <f>IF(OR($B25="",NOT(ISNUMBER($D25))),"",IF(OR($B25="Total general",$B25="Total Result"),SUM(Y$4:Y24),+W25-X25))</f>
      </c>
      <c r="Z25" s="84">
        <f>IF(OR($B25="",NOT(ISNUMBER($D25))),"",IF(OR($B25="Total general",$B25="Total Result"),SUM(Z$4:Z24),+E25))</f>
      </c>
      <c r="AA25" s="85">
        <f>IF(OR($B25="",NOT(ISNUMBER($D25))),"",IF(OR($B25="Total general",$B25="Total Result"),SUM(AA$4:AA24),+Z25-W25))</f>
      </c>
      <c r="AB25" s="86"/>
      <c r="AC25" s="82">
        <f>IF(OR($B25="",NOT(ISNUMBER($D25))),"",IF(OR($B25="Total general",$B25="Total Result"),SUM(AC$4:AC24),(+M25+N25)))</f>
      </c>
      <c r="AD25" s="82">
        <f>IF(OR($B25="",NOT(ISNUMBER($D25))),"",IF(OR($B25="Total general",$B25="Total Result"),SUM(AD$4:AD24),+AC25*19%))</f>
      </c>
      <c r="AE25" s="82">
        <f>IF(OR($B25="",NOT(ISNUMBER($D25))),"",IF(OR($B25="Total general",$B25="Total Result"),SUM(AE$4:AE24),+AC25-AD25))</f>
      </c>
      <c r="AF25" s="82">
        <f>IF(OR($B25="",NOT(ISNUMBER($D25))),"",IF(OR($B25="Total general",$B25="Total Result"),SUM(AF$4:AF24),+AE25-Z25))</f>
      </c>
    </row>
    <row r="26" spans="1:38" x14ac:dyDescent="0.3">
      <c r="A26" s="80">
        <f>IF(OR($B26="",OR($B26="Total general",$B26="Total Result"),NOT(ISNUMBER($D26))),"",IFERROR(INDEX(Reporte!$A$2:$A$2,MATCH($B26,Reporte!$E$2:$E$2,0))&amp;"",""))</f>
      </c>
      <c r="B26" s="32"/>
      <c r="C26" s="34"/>
      <c r="D26" s="34"/>
      <c r="E26" s="81"/>
      <c r="F26" s="18">
        <f>IF(OR($B26="",OR($B26="Total general",$B26="Total Result"),NOT(ISNUMBER($D26))),"",IFERROR(VLOOKUP($B26,Reporte!$E$2:$F$2,2,FALSE),""))</f>
      </c>
      <c r="G26" s="19">
        <f>IF(OR($B26="",OR($B26="Total general",$B26="Total Result"),NOT(ISNUMBER($D26))),"",IFERROR(VLOOKUP($B26,Reporte!$E$2:$G$2,3,FALSE),""))</f>
      </c>
      <c r="H26" s="80">
        <f>IF(OR($B26="",OR($B26="Total general",$B26="Total Result"),NOT(ISNUMBER($D26))),"",IFERROR(VLOOKUP($F26,$AI$4:$AL$4,2,FALSE),0))</f>
      </c>
      <c r="I26" s="80">
        <f>IF(OR($B26="",OR($B26="Total general",$B26="Total Result"),NOT(ISNUMBER($D26))),"",IFERROR(VLOOKUP($F26,$AI$4:$AL$4,3,FALSE),0))</f>
      </c>
      <c r="J26" s="80">
        <f>IF(OR($B26="",OR($B26="Total general",$B26="Total Result"),NOT(ISNUMBER($D26))),"",IFERROR(VLOOKUP($F26,$AI$4:$AL$4,4,FALSE),0))</f>
      </c>
      <c r="K26" s="17"/>
      <c r="L26" s="16">
        <f>IF(OR($B26="",NOT(ISNUMBER($D26))),"",IF(OR($B26="Total general",$B26="Total Result"),SUM(L$4:L25),+D26))</f>
      </c>
      <c r="M26" s="82">
        <f>IF(OR($B26="",NOT(ISNUMBER($D26))),"",IF(OR($B26="Total general",$B26="Total Result"),SUM(M$4:M25),+L26*J26))</f>
      </c>
      <c r="N26" s="82">
        <f>IF(OR($B26="",NOT(ISNUMBER($D26))),"",IF(OR($B26="Total general",$B26="Total Result"),SUM(N$4:N25),+M26*0.1))</f>
      </c>
      <c r="O26" s="82"/>
      <c r="P26" s="82"/>
      <c r="Q26" s="82"/>
      <c r="R26" s="82">
        <f>IF(OR($B26="",NOT(ISNUMBER($D26))),"",IF(OR($B26="Total general",$B26="Total Result"),SUM(R$4:R25),SUM(M26:Q26)/12))</f>
      </c>
      <c r="S26" s="83">
        <f>IF(OR($B26="",NOT(ISNUMBER($D26))),"",IF(OR($B26="Total general",$B26="Total Result"),SUM(S$4:S25),SUM(M26:R26)))</f>
      </c>
      <c r="T26" s="82"/>
      <c r="U26" s="82">
        <f>IF(OR($B26="",NOT(ISNUMBER($D26))),"",IF(OR($B26="Total general",$B26="Total Result"),SUM(U$4:U25),(S26)*19%*-1))</f>
      </c>
      <c r="V26" s="82"/>
      <c r="W26" s="83">
        <f>IF(OR($B26="",NOT(ISNUMBER($D26))),"",IF(OR($B26="Total general",$B26="Total Result"),SUM(W$4:W25),+S26+U26))</f>
      </c>
      <c r="X26" s="83"/>
      <c r="Y26" s="83">
        <f>IF(OR($B26="",NOT(ISNUMBER($D26))),"",IF(OR($B26="Total general",$B26="Total Result"),SUM(Y$4:Y25),+W26-X26))</f>
      </c>
      <c r="Z26" s="84">
        <f>IF(OR($B26="",NOT(ISNUMBER($D26))),"",IF(OR($B26="Total general",$B26="Total Result"),SUM(Z$4:Z25),+E26))</f>
      </c>
      <c r="AA26" s="85">
        <f>IF(OR($B26="",NOT(ISNUMBER($D26))),"",IF(OR($B26="Total general",$B26="Total Result"),SUM(AA$4:AA25),+Z26-W26))</f>
      </c>
      <c r="AB26" s="86"/>
      <c r="AC26" s="82">
        <f>IF(OR($B26="",NOT(ISNUMBER($D26))),"",IF(OR($B26="Total general",$B26="Total Result"),SUM(AC$4:AC25),(+M26+N26)))</f>
      </c>
      <c r="AD26" s="82">
        <f>IF(OR($B26="",NOT(ISNUMBER($D26))),"",IF(OR($B26="Total general",$B26="Total Result"),SUM(AD$4:AD25),+AC26*19%))</f>
      </c>
      <c r="AE26" s="82">
        <f>IF(OR($B26="",NOT(ISNUMBER($D26))),"",IF(OR($B26="Total general",$B26="Total Result"),SUM(AE$4:AE25),+AC26-AD26))</f>
      </c>
      <c r="AF26" s="82">
        <f>IF(OR($B26="",NOT(ISNUMBER($D26))),"",IF(OR($B26="Total general",$B26="Total Result"),SUM(AF$4:AF25),+AE26-Z26))</f>
      </c>
    </row>
    <row r="27" spans="1:38" x14ac:dyDescent="0.3">
      <c r="A27" s="80">
        <f>IF(OR($B27="",OR($B27="Total general",$B27="Total Result"),NOT(ISNUMBER($D27))),"",IFERROR(INDEX(Reporte!$A$2:$A$2,MATCH($B27,Reporte!$E$2:$E$2,0))&amp;"",""))</f>
      </c>
      <c r="B27" s="32"/>
      <c r="C27" s="34"/>
      <c r="D27" s="34"/>
      <c r="E27" s="81"/>
      <c r="F27" s="18">
        <f>IF(OR($B27="",OR($B27="Total general",$B27="Total Result"),NOT(ISNUMBER($D27))),"",IFERROR(VLOOKUP($B27,Reporte!$E$2:$F$2,2,FALSE),""))</f>
      </c>
      <c r="G27" s="19">
        <f>IF(OR($B27="",OR($B27="Total general",$B27="Total Result"),NOT(ISNUMBER($D27))),"",IFERROR(VLOOKUP($B27,Reporte!$E$2:$G$2,3,FALSE),""))</f>
      </c>
      <c r="H27" s="80">
        <f>IF(OR($B27="",OR($B27="Total general",$B27="Total Result"),NOT(ISNUMBER($D27))),"",IFERROR(VLOOKUP($F27,$AI$4:$AL$4,2,FALSE),0))</f>
      </c>
      <c r="I27" s="80">
        <f>IF(OR($B27="",OR($B27="Total general",$B27="Total Result"),NOT(ISNUMBER($D27))),"",IFERROR(VLOOKUP($F27,$AI$4:$AL$4,3,FALSE),0))</f>
      </c>
      <c r="J27" s="80">
        <f>IF(OR($B27="",OR($B27="Total general",$B27="Total Result"),NOT(ISNUMBER($D27))),"",IFERROR(VLOOKUP($F27,$AI$4:$AL$4,4,FALSE),0))</f>
      </c>
      <c r="K27" s="17"/>
      <c r="L27" s="16">
        <f>IF(OR($B27="",NOT(ISNUMBER($D27))),"",IF(OR($B27="Total general",$B27="Total Result"),SUM(L$4:L26),+D27))</f>
      </c>
      <c r="M27" s="82">
        <f>IF(OR($B27="",NOT(ISNUMBER($D27))),"",IF(OR($B27="Total general",$B27="Total Result"),SUM(M$4:M26),+L27*J27))</f>
      </c>
      <c r="N27" s="82">
        <f>IF(OR($B27="",NOT(ISNUMBER($D27))),"",IF(OR($B27="Total general",$B27="Total Result"),SUM(N$4:N26),+M27*0.1))</f>
      </c>
      <c r="O27" s="82"/>
      <c r="P27" s="82"/>
      <c r="Q27" s="82"/>
      <c r="R27" s="82">
        <f>IF(OR($B27="",NOT(ISNUMBER($D27))),"",IF(OR($B27="Total general",$B27="Total Result"),SUM(R$4:R26),SUM(M27:Q27)/12))</f>
      </c>
      <c r="S27" s="83">
        <f>IF(OR($B27="",NOT(ISNUMBER($D27))),"",IF(OR($B27="Total general",$B27="Total Result"),SUM(S$4:S26),SUM(M27:R27)))</f>
      </c>
      <c r="T27" s="82"/>
      <c r="U27" s="82">
        <f>IF(OR($B27="",NOT(ISNUMBER($D27))),"",IF(OR($B27="Total general",$B27="Total Result"),SUM(U$4:U26),(S27)*19%*-1))</f>
      </c>
      <c r="V27" s="82"/>
      <c r="W27" s="83">
        <f>IF(OR($B27="",NOT(ISNUMBER($D27))),"",IF(OR($B27="Total general",$B27="Total Result"),SUM(W$4:W26),+S27+U27))</f>
      </c>
      <c r="X27" s="83"/>
      <c r="Y27" s="83">
        <f>IF(OR($B27="",NOT(ISNUMBER($D27))),"",IF(OR($B27="Total general",$B27="Total Result"),SUM(Y$4:Y26),+W27-X27))</f>
      </c>
      <c r="Z27" s="84">
        <f>IF(OR($B27="",NOT(ISNUMBER($D27))),"",IF(OR($B27="Total general",$B27="Total Result"),SUM(Z$4:Z26),+E27))</f>
      </c>
      <c r="AA27" s="85">
        <f>IF(OR($B27="",NOT(ISNUMBER($D27))),"",IF(OR($B27="Total general",$B27="Total Result"),SUM(AA$4:AA26),+Z27-W27))</f>
      </c>
      <c r="AB27" s="86"/>
      <c r="AC27" s="82">
        <f>IF(OR($B27="",NOT(ISNUMBER($D27))),"",IF(OR($B27="Total general",$B27="Total Result"),SUM(AC$4:AC26),(+M27+N27)))</f>
      </c>
      <c r="AD27" s="82">
        <f>IF(OR($B27="",NOT(ISNUMBER($D27))),"",IF(OR($B27="Total general",$B27="Total Result"),SUM(AD$4:AD26),+AC27*19%))</f>
      </c>
      <c r="AE27" s="82">
        <f>IF(OR($B27="",NOT(ISNUMBER($D27))),"",IF(OR($B27="Total general",$B27="Total Result"),SUM(AE$4:AE26),+AC27-AD27))</f>
      </c>
      <c r="AF27" s="82">
        <f>IF(OR($B27="",NOT(ISNUMBER($D27))),"",IF(OR($B27="Total general",$B27="Total Result"),SUM(AF$4:AF26),+AE27-Z27))</f>
      </c>
    </row>
    <row r="28" spans="1:38" x14ac:dyDescent="0.3">
      <c r="A28" s="80">
        <f>IF(OR($B28="",OR($B28="Total general",$B28="Total Result"),NOT(ISNUMBER($D28))),"",IFERROR(INDEX(Reporte!$A$2:$A$2,MATCH($B28,Reporte!$E$2:$E$2,0))&amp;"",""))</f>
      </c>
      <c r="B28" s="32"/>
      <c r="C28" s="34"/>
      <c r="D28" s="34"/>
      <c r="E28" s="81"/>
      <c r="F28" s="18">
        <f>IF(OR($B28="",OR($B28="Total general",$B28="Total Result"),NOT(ISNUMBER($D28))),"",IFERROR(VLOOKUP($B28,Reporte!$E$2:$F$2,2,FALSE),""))</f>
      </c>
      <c r="G28" s="19">
        <f>IF(OR($B28="",OR($B28="Total general",$B28="Total Result"),NOT(ISNUMBER($D28))),"",IFERROR(VLOOKUP($B28,Reporte!$E$2:$G$2,3,FALSE),""))</f>
      </c>
      <c r="H28" s="80">
        <f>IF(OR($B28="",OR($B28="Total general",$B28="Total Result"),NOT(ISNUMBER($D28))),"",IFERROR(VLOOKUP($F28,$AI$4:$AL$4,2,FALSE),0))</f>
      </c>
      <c r="I28" s="80">
        <f>IF(OR($B28="",OR($B28="Total general",$B28="Total Result"),NOT(ISNUMBER($D28))),"",IFERROR(VLOOKUP($F28,$AI$4:$AL$4,3,FALSE),0))</f>
      </c>
      <c r="J28" s="80">
        <f>IF(OR($B28="",OR($B28="Total general",$B28="Total Result"),NOT(ISNUMBER($D28))),"",IFERROR(VLOOKUP($F28,$AI$4:$AL$4,4,FALSE),0))</f>
      </c>
      <c r="K28" s="17"/>
      <c r="L28" s="16">
        <f>IF(OR($B28="",NOT(ISNUMBER($D28))),"",IF(OR($B28="Total general",$B28="Total Result"),SUM(L$4:L27),+D28))</f>
      </c>
      <c r="M28" s="82">
        <f>IF(OR($B28="",NOT(ISNUMBER($D28))),"",IF(OR($B28="Total general",$B28="Total Result"),SUM(M$4:M27),+L28*J28))</f>
      </c>
      <c r="N28" s="82">
        <f>IF(OR($B28="",NOT(ISNUMBER($D28))),"",IF(OR($B28="Total general",$B28="Total Result"),SUM(N$4:N27),+M28*0.1))</f>
      </c>
      <c r="O28" s="82"/>
      <c r="P28" s="82"/>
      <c r="Q28" s="82"/>
      <c r="R28" s="82">
        <f>IF(OR($B28="",NOT(ISNUMBER($D28))),"",IF(OR($B28="Total general",$B28="Total Result"),SUM(R$4:R27),SUM(M28:Q28)/12))</f>
      </c>
      <c r="S28" s="83">
        <f>IF(OR($B28="",NOT(ISNUMBER($D28))),"",IF(OR($B28="Total general",$B28="Total Result"),SUM(S$4:S27),SUM(M28:R28)))</f>
      </c>
      <c r="T28" s="82"/>
      <c r="U28" s="82">
        <f>IF(OR($B28="",NOT(ISNUMBER($D28))),"",IF(OR($B28="Total general",$B28="Total Result"),SUM(U$4:U27),(S28)*19%*-1))</f>
      </c>
      <c r="V28" s="82"/>
      <c r="W28" s="83">
        <f>IF(OR($B28="",NOT(ISNUMBER($D28))),"",IF(OR($B28="Total general",$B28="Total Result"),SUM(W$4:W27),+S28+U28))</f>
      </c>
      <c r="X28" s="83"/>
      <c r="Y28" s="83">
        <f>IF(OR($B28="",NOT(ISNUMBER($D28))),"",IF(OR($B28="Total general",$B28="Total Result"),SUM(Y$4:Y27),+W28-X28))</f>
      </c>
      <c r="Z28" s="84">
        <f>IF(OR($B28="",NOT(ISNUMBER($D28))),"",IF(OR($B28="Total general",$B28="Total Result"),SUM(Z$4:Z27),+E28))</f>
      </c>
      <c r="AA28" s="85">
        <f>IF(OR($B28="",NOT(ISNUMBER($D28))),"",IF(OR($B28="Total general",$B28="Total Result"),SUM(AA$4:AA27),+Z28-W28))</f>
      </c>
      <c r="AB28" s="86"/>
      <c r="AC28" s="82">
        <f>IF(OR($B28="",NOT(ISNUMBER($D28))),"",IF(OR($B28="Total general",$B28="Total Result"),SUM(AC$4:AC27),(+M28+N28)))</f>
      </c>
      <c r="AD28" s="82">
        <f>IF(OR($B28="",NOT(ISNUMBER($D28))),"",IF(OR($B28="Total general",$B28="Total Result"),SUM(AD$4:AD27),+AC28*19%))</f>
      </c>
      <c r="AE28" s="82">
        <f>IF(OR($B28="",NOT(ISNUMBER($D28))),"",IF(OR($B28="Total general",$B28="Total Result"),SUM(AE$4:AE27),+AC28-AD28))</f>
      </c>
      <c r="AF28" s="82">
        <f>IF(OR($B28="",NOT(ISNUMBER($D28))),"",IF(OR($B28="Total general",$B28="Total Result"),SUM(AF$4:AF27),+AE28-Z28))</f>
      </c>
    </row>
    <row r="29" spans="1:38" x14ac:dyDescent="0.3">
      <c r="A29" s="80">
        <f>IF(OR($B29="",OR($B29="Total general",$B29="Total Result"),NOT(ISNUMBER($D29))),"",IFERROR(INDEX(Reporte!$A$2:$A$2,MATCH($B29,Reporte!$E$2:$E$2,0))&amp;"",""))</f>
      </c>
      <c r="B29" s="32"/>
      <c r="C29" s="34"/>
      <c r="D29" s="34"/>
      <c r="E29" s="81"/>
      <c r="F29" s="18">
        <f>IF(OR($B29="",OR($B29="Total general",$B29="Total Result"),NOT(ISNUMBER($D29))),"",IFERROR(VLOOKUP($B29,Reporte!$E$2:$F$2,2,FALSE),""))</f>
      </c>
      <c r="G29" s="19">
        <f>IF(OR($B29="",OR($B29="Total general",$B29="Total Result"),NOT(ISNUMBER($D29))),"",IFERROR(VLOOKUP($B29,Reporte!$E$2:$G$2,3,FALSE),""))</f>
      </c>
      <c r="H29" s="80">
        <f>IF(OR($B29="",OR($B29="Total general",$B29="Total Result"),NOT(ISNUMBER($D29))),"",IFERROR(VLOOKUP($F29,$AI$4:$AL$4,2,FALSE),0))</f>
      </c>
      <c r="I29" s="80">
        <f>IF(OR($B29="",OR($B29="Total general",$B29="Total Result"),NOT(ISNUMBER($D29))),"",IFERROR(VLOOKUP($F29,$AI$4:$AL$4,3,FALSE),0))</f>
      </c>
      <c r="J29" s="80">
        <f>IF(OR($B29="",OR($B29="Total general",$B29="Total Result"),NOT(ISNUMBER($D29))),"",IFERROR(VLOOKUP($F29,$AI$4:$AL$4,4,FALSE),0))</f>
      </c>
      <c r="K29" s="17"/>
      <c r="L29" s="16">
        <f>IF(OR($B29="",NOT(ISNUMBER($D29))),"",IF(OR($B29="Total general",$B29="Total Result"),SUM(L$4:L28),+D29))</f>
      </c>
      <c r="M29" s="82">
        <f>IF(OR($B29="",NOT(ISNUMBER($D29))),"",IF(OR($B29="Total general",$B29="Total Result"),SUM(M$4:M28),+L29*J29))</f>
      </c>
      <c r="N29" s="82">
        <f>IF(OR($B29="",NOT(ISNUMBER($D29))),"",IF(OR($B29="Total general",$B29="Total Result"),SUM(N$4:N28),+M29*0.1))</f>
      </c>
      <c r="O29" s="82"/>
      <c r="P29" s="82"/>
      <c r="Q29" s="82"/>
      <c r="R29" s="82">
        <f>IF(OR($B29="",NOT(ISNUMBER($D29))),"",IF(OR($B29="Total general",$B29="Total Result"),SUM(R$4:R28),SUM(M29:Q29)/12))</f>
      </c>
      <c r="S29" s="83">
        <f>IF(OR($B29="",NOT(ISNUMBER($D29))),"",IF(OR($B29="Total general",$B29="Total Result"),SUM(S$4:S28),SUM(M29:R29)))</f>
      </c>
      <c r="T29" s="82"/>
      <c r="U29" s="82">
        <f>IF(OR($B29="",NOT(ISNUMBER($D29))),"",IF(OR($B29="Total general",$B29="Total Result"),SUM(U$4:U28),(S29)*19%*-1))</f>
      </c>
      <c r="V29" s="82"/>
      <c r="W29" s="83">
        <f>IF(OR($B29="",NOT(ISNUMBER($D29))),"",IF(OR($B29="Total general",$B29="Total Result"),SUM(W$4:W28),+S29+U29))</f>
      </c>
      <c r="X29" s="83"/>
      <c r="Y29" s="83">
        <f>IF(OR($B29="",NOT(ISNUMBER($D29))),"",IF(OR($B29="Total general",$B29="Total Result"),SUM(Y$4:Y28),+W29-X29))</f>
      </c>
      <c r="Z29" s="84">
        <f>IF(OR($B29="",NOT(ISNUMBER($D29))),"",IF(OR($B29="Total general",$B29="Total Result"),SUM(Z$4:Z28),+E29))</f>
      </c>
      <c r="AA29" s="85">
        <f>IF(OR($B29="",NOT(ISNUMBER($D29))),"",IF(OR($B29="Total general",$B29="Total Result"),SUM(AA$4:AA28),+Z29-W29))</f>
      </c>
      <c r="AB29" s="86"/>
      <c r="AC29" s="82">
        <f>IF(OR($B29="",NOT(ISNUMBER($D29))),"",IF(OR($B29="Total general",$B29="Total Result"),SUM(AC$4:AC28),(+M29+N29)))</f>
      </c>
      <c r="AD29" s="82">
        <f>IF(OR($B29="",NOT(ISNUMBER($D29))),"",IF(OR($B29="Total general",$B29="Total Result"),SUM(AD$4:AD28),+AC29*19%))</f>
      </c>
      <c r="AE29" s="82">
        <f>IF(OR($B29="",NOT(ISNUMBER($D29))),"",IF(OR($B29="Total general",$B29="Total Result"),SUM(AE$4:AE28),+AC29-AD29))</f>
      </c>
      <c r="AF29" s="82">
        <f>IF(OR($B29="",NOT(ISNUMBER($D29))),"",IF(OR($B29="Total general",$B29="Total Result"),SUM(AF$4:AF28),+AE29-Z29))</f>
      </c>
    </row>
  </sheetData>
  <autoFilter ref="A3:J4"/>
  <mergeCells count="2">
    <mergeCell ref="AC3:AF3"/>
    <mergeCell ref="H2:J2"/>
  </mergeCells>
  <conditionalFormatting sqref="AA2:AB3">
    <cfRule type="cellIs" dxfId="25" priority="2" operator="lessThanOrEqual">
      <formula>0</formula>
    </cfRule>
  </conditionalFormatting>
  <conditionalFormatting sqref="AC3:AE3">
    <cfRule type="cellIs" dxfId="24" priority="1" operator="lessThanOr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 Ejecutivo</vt:lpstr>
      <vt:lpstr>Reporte</vt:lpstr>
      <vt:lpstr>SUBTOTAL</vt:lpstr>
      <vt:lpstr>LIQUIDACION</vt:lpstr>
      <vt:lpstr>'Resumen Ejecutivo'!Área_de_impresión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Cinthia</dc:creator>
  <cp:lastModifiedBy>Cinthia Mania</cp:lastModifiedBy>
  <dcterms:created xsi:type="dcterms:W3CDTF">2026-09-01T13:59:51Z</dcterms:created>
  <dcterms:modified xsi:type="dcterms:W3CDTF">2026-10-12T16:59:00Z</dcterms:modified>
</cp:coreProperties>
</file>